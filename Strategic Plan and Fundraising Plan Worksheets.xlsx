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norview-my.sharepoint.com/personal/kimberly_perron_donorview_com/Documents/Training Projects/Webinars/"/>
    </mc:Choice>
  </mc:AlternateContent>
  <xr:revisionPtr revIDLastSave="2367" documentId="8_{1AAECFD9-425C-4092-80C6-921C906CB8D6}" xr6:coauthVersionLast="47" xr6:coauthVersionMax="47" xr10:uidLastSave="{A0908944-3452-48EC-80B6-57CBF75C18FA}"/>
  <bookViews>
    <workbookView xWindow="-120" yWindow="-120" windowWidth="29040" windowHeight="15720" firstSheet="1" activeTab="7" xr2:uid="{32ED128C-B7F3-4BA8-AB9C-147CE93C6E40}"/>
  </bookViews>
  <sheets>
    <sheet name="Fundraising Strategy" sheetId="1" r:id="rId1"/>
    <sheet name="Guiding Principals" sheetId="6" r:id="rId2"/>
    <sheet name="SWOT" sheetId="3" r:id="rId3"/>
    <sheet name="Objectives" sheetId="7" r:id="rId4"/>
    <sheet name="Annual Plan" sheetId="2" r:id="rId5"/>
    <sheet name="Calendar" sheetId="4" r:id="rId6"/>
    <sheet name="Donor Engagement" sheetId="8" r:id="rId7"/>
    <sheet name="KPI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4" i="10" l="1"/>
  <c r="D194" i="10"/>
  <c r="G193" i="10"/>
  <c r="D193" i="10"/>
  <c r="G192" i="10"/>
  <c r="D192" i="10"/>
  <c r="G190" i="10"/>
  <c r="D190" i="10"/>
  <c r="G189" i="10"/>
  <c r="D189" i="10"/>
  <c r="G188" i="10"/>
  <c r="D188" i="10"/>
  <c r="G180" i="10"/>
  <c r="D180" i="10"/>
  <c r="F31" i="10"/>
  <c r="F30" i="10"/>
  <c r="F29" i="10"/>
  <c r="F28" i="10"/>
  <c r="F27" i="10"/>
  <c r="F24" i="10"/>
  <c r="F23" i="10"/>
  <c r="F22" i="10"/>
  <c r="F21" i="10"/>
  <c r="F20" i="10"/>
  <c r="F17" i="10"/>
  <c r="F16" i="10"/>
  <c r="F15" i="10"/>
  <c r="F14" i="10"/>
  <c r="F13" i="10"/>
  <c r="E31" i="10"/>
  <c r="E30" i="10"/>
  <c r="E29" i="10"/>
  <c r="E28" i="10"/>
  <c r="E27" i="10"/>
  <c r="E24" i="10"/>
  <c r="E23" i="10"/>
  <c r="E22" i="10"/>
  <c r="E21" i="10"/>
  <c r="E20" i="10"/>
  <c r="E15" i="10"/>
  <c r="E14" i="10"/>
  <c r="E13" i="10"/>
  <c r="F94" i="10" l="1"/>
  <c r="G94" i="10" s="1"/>
  <c r="G186" i="10"/>
  <c r="D186" i="10"/>
  <c r="G185" i="10"/>
  <c r="D185" i="10"/>
  <c r="G184" i="10"/>
  <c r="D184" i="10"/>
  <c r="G178" i="10"/>
  <c r="D178" i="10"/>
  <c r="G179" i="10"/>
  <c r="D179" i="10"/>
  <c r="G177" i="10"/>
  <c r="G176" i="10"/>
  <c r="G175" i="10"/>
  <c r="G174" i="10"/>
  <c r="G173" i="10"/>
  <c r="D177" i="10"/>
  <c r="D176" i="10"/>
  <c r="D175" i="10"/>
  <c r="D174" i="10"/>
  <c r="D173" i="10"/>
  <c r="F169" i="10"/>
  <c r="G169" i="10" s="1"/>
  <c r="F168" i="10"/>
  <c r="G168" i="10" s="1"/>
  <c r="F167" i="10"/>
  <c r="G167" i="10" s="1"/>
  <c r="F166" i="10"/>
  <c r="G166" i="10" s="1"/>
  <c r="F165" i="10"/>
  <c r="G165" i="10" s="1"/>
  <c r="F164" i="10"/>
  <c r="G164" i="10" s="1"/>
  <c r="F144" i="10"/>
  <c r="G144" i="10" s="1"/>
  <c r="F143" i="10"/>
  <c r="G143" i="10" s="1"/>
  <c r="F142" i="10"/>
  <c r="G142" i="10" s="1"/>
  <c r="F141" i="10"/>
  <c r="G141" i="10" s="1"/>
  <c r="F140" i="10"/>
  <c r="G140" i="10" s="1"/>
  <c r="F139" i="10"/>
  <c r="G139" i="10" s="1"/>
  <c r="F161" i="10"/>
  <c r="G161" i="10" s="1"/>
  <c r="F160" i="10"/>
  <c r="G160" i="10" s="1"/>
  <c r="F159" i="10"/>
  <c r="G159" i="10" s="1"/>
  <c r="F158" i="10"/>
  <c r="G158" i="10" s="1"/>
  <c r="F157" i="10"/>
  <c r="G157" i="10" s="1"/>
  <c r="F156" i="10"/>
  <c r="G156" i="10" s="1"/>
  <c r="F152" i="10"/>
  <c r="G152" i="10" s="1"/>
  <c r="F151" i="10"/>
  <c r="G151" i="10" s="1"/>
  <c r="F150" i="10"/>
  <c r="G150" i="10" s="1"/>
  <c r="F149" i="10"/>
  <c r="G149" i="10" s="1"/>
  <c r="F148" i="10"/>
  <c r="G148" i="10" s="1"/>
  <c r="F147" i="10"/>
  <c r="G147" i="10" s="1"/>
  <c r="F136" i="10"/>
  <c r="G136" i="10" s="1"/>
  <c r="F135" i="10"/>
  <c r="G135" i="10" s="1"/>
  <c r="F134" i="10"/>
  <c r="G134" i="10" s="1"/>
  <c r="F133" i="10"/>
  <c r="G133" i="10" s="1"/>
  <c r="F132" i="10"/>
  <c r="G132" i="10" s="1"/>
  <c r="F131" i="10"/>
  <c r="G131" i="10" s="1"/>
  <c r="G117" i="10"/>
  <c r="F117" i="10"/>
  <c r="G116" i="10"/>
  <c r="F116" i="10"/>
  <c r="G115" i="10"/>
  <c r="F115" i="10"/>
  <c r="G114" i="10"/>
  <c r="F114" i="10"/>
  <c r="G113" i="10"/>
  <c r="F113" i="10"/>
  <c r="G112" i="10"/>
  <c r="F112" i="10"/>
  <c r="G111" i="10"/>
  <c r="F111" i="10"/>
  <c r="G108" i="10"/>
  <c r="F108" i="10"/>
  <c r="G107" i="10"/>
  <c r="F107" i="10"/>
  <c r="G106" i="10"/>
  <c r="F106" i="10"/>
  <c r="G105" i="10"/>
  <c r="F105" i="10"/>
  <c r="G104" i="10"/>
  <c r="F104" i="10"/>
  <c r="G124" i="10"/>
  <c r="G123" i="10"/>
  <c r="G122" i="10"/>
  <c r="G121" i="10"/>
  <c r="G120" i="10"/>
  <c r="C100" i="10"/>
  <c r="D87" i="10"/>
  <c r="E86" i="10"/>
  <c r="F86" i="10" s="1"/>
  <c r="G86" i="10" s="1"/>
  <c r="E85" i="10"/>
  <c r="F85" i="10" s="1"/>
  <c r="G85" i="10" s="1"/>
  <c r="E84" i="10"/>
  <c r="F84" i="10" s="1"/>
  <c r="G84" i="10" s="1"/>
  <c r="E83" i="10"/>
  <c r="F83" i="10" s="1"/>
  <c r="G83" i="10" s="1"/>
  <c r="E79" i="10"/>
  <c r="D79" i="10"/>
  <c r="F78" i="10"/>
  <c r="G78" i="10" s="1"/>
  <c r="F77" i="10"/>
  <c r="G77" i="10" s="1"/>
  <c r="F76" i="10"/>
  <c r="G76" i="10" s="1"/>
  <c r="F75" i="10"/>
  <c r="G75" i="10" s="1"/>
  <c r="E97" i="10"/>
  <c r="D100" i="10" s="1"/>
  <c r="D97" i="10"/>
  <c r="E100" i="10" s="1"/>
  <c r="F96" i="10"/>
  <c r="G96" i="10" s="1"/>
  <c r="F95" i="10"/>
  <c r="G95" i="10" s="1"/>
  <c r="F93" i="10"/>
  <c r="G93" i="10" s="1"/>
  <c r="F92" i="10"/>
  <c r="G92" i="10" s="1"/>
  <c r="F91" i="10"/>
  <c r="G91" i="10" s="1"/>
  <c r="F90" i="10"/>
  <c r="G90" i="10" s="1"/>
  <c r="E72" i="10"/>
  <c r="G72" i="10" s="1"/>
  <c r="G10" i="10"/>
  <c r="F72" i="10" s="1"/>
  <c r="D10" i="10"/>
  <c r="B72" i="10" s="1"/>
  <c r="E10" i="10"/>
  <c r="F9" i="10"/>
  <c r="E59" i="10"/>
  <c r="G63" i="10"/>
  <c r="F63" i="10"/>
  <c r="G62" i="10"/>
  <c r="F62" i="10"/>
  <c r="E63" i="10"/>
  <c r="E62" i="10"/>
  <c r="F100" i="10" l="1"/>
  <c r="G100" i="10" s="1"/>
  <c r="E87" i="10"/>
  <c r="F87" i="10" s="1"/>
  <c r="G87" i="10" s="1"/>
  <c r="F79" i="10"/>
  <c r="G79" i="10" s="1"/>
  <c r="F97" i="10"/>
  <c r="G97" i="10" s="1"/>
  <c r="F10" i="10"/>
  <c r="D72" i="10"/>
  <c r="E17" i="10"/>
  <c r="E16" i="10"/>
  <c r="E68" i="10" l="1"/>
  <c r="E67" i="10"/>
  <c r="E66" i="10"/>
  <c r="E56" i="10"/>
  <c r="G56" i="10" s="1"/>
  <c r="E35" i="10"/>
  <c r="F35" i="10" s="1"/>
  <c r="G40" i="10"/>
  <c r="G39" i="10"/>
  <c r="G38" i="10"/>
  <c r="E40" i="10"/>
  <c r="E39" i="10"/>
  <c r="E38" i="10"/>
  <c r="G52" i="10"/>
  <c r="G51" i="10"/>
  <c r="G50" i="10"/>
  <c r="G49" i="10"/>
  <c r="G48" i="10"/>
  <c r="G47" i="10"/>
  <c r="G46" i="10"/>
  <c r="D43" i="10"/>
  <c r="E52" i="10"/>
  <c r="E51" i="10"/>
  <c r="E50" i="10"/>
  <c r="E49" i="10"/>
  <c r="E48" i="10"/>
  <c r="E47" i="10"/>
  <c r="E46" i="10"/>
  <c r="F8" i="10"/>
  <c r="F7" i="10"/>
  <c r="F6" i="10"/>
  <c r="F5" i="10"/>
  <c r="F4" i="10"/>
  <c r="H84" i="8"/>
  <c r="D84" i="8"/>
  <c r="H83" i="8"/>
  <c r="D83" i="8"/>
  <c r="H82" i="8"/>
  <c r="D82" i="8"/>
  <c r="H79" i="8"/>
  <c r="D79" i="8"/>
  <c r="H78" i="8"/>
  <c r="D78" i="8"/>
  <c r="H77" i="8"/>
  <c r="D77" i="8"/>
  <c r="H57" i="8"/>
  <c r="H56" i="8"/>
  <c r="H39" i="8"/>
  <c r="H24" i="8"/>
  <c r="H23" i="8"/>
  <c r="H7" i="8"/>
  <c r="H6" i="8"/>
  <c r="H5" i="8"/>
  <c r="H4" i="8"/>
  <c r="H182" i="8"/>
  <c r="H181" i="8"/>
  <c r="H180" i="8"/>
  <c r="E99" i="7"/>
  <c r="G99" i="7" s="1"/>
  <c r="E93" i="7"/>
  <c r="G93" i="7" s="1"/>
  <c r="E87" i="7"/>
  <c r="G87" i="7" s="1"/>
  <c r="E81" i="7"/>
  <c r="G81" i="7" s="1"/>
  <c r="E74" i="7"/>
  <c r="G74" i="7" s="1"/>
  <c r="E68" i="7"/>
  <c r="G68" i="7" s="1"/>
  <c r="E62" i="7"/>
  <c r="G62" i="7" s="1"/>
  <c r="E56" i="7"/>
  <c r="G56" i="7" s="1"/>
  <c r="E49" i="7"/>
  <c r="G49" i="7" s="1"/>
  <c r="E37" i="7"/>
  <c r="G37" i="7" s="1"/>
  <c r="E43" i="7"/>
  <c r="G43" i="7" s="1"/>
  <c r="E31" i="7"/>
  <c r="G31" i="7" s="1"/>
  <c r="E23" i="7"/>
  <c r="G23" i="7" s="1"/>
  <c r="E17" i="7"/>
  <c r="G17" i="7" s="1"/>
  <c r="F100" i="7"/>
  <c r="F94" i="7"/>
  <c r="F88" i="7"/>
  <c r="F82" i="7"/>
  <c r="F75" i="7"/>
  <c r="F69" i="7"/>
  <c r="F63" i="7"/>
  <c r="F57" i="7"/>
  <c r="F50" i="7"/>
  <c r="F44" i="7"/>
  <c r="F38" i="7"/>
  <c r="F32" i="7"/>
  <c r="F24" i="7"/>
  <c r="F18" i="7"/>
  <c r="F12" i="7"/>
  <c r="E11" i="7"/>
  <c r="G11" i="7" s="1"/>
  <c r="I328" i="3"/>
  <c r="I315" i="3"/>
  <c r="I302" i="3"/>
  <c r="I287" i="3"/>
  <c r="I274" i="3"/>
  <c r="I261" i="3"/>
  <c r="I246" i="3"/>
  <c r="I233" i="3"/>
  <c r="I220" i="3"/>
  <c r="I205" i="3"/>
  <c r="I192" i="3"/>
  <c r="I179" i="3"/>
  <c r="I164" i="3"/>
  <c r="I151" i="3"/>
  <c r="I138" i="3"/>
  <c r="I123" i="3"/>
  <c r="I110" i="3"/>
  <c r="I97" i="3"/>
  <c r="I82" i="3"/>
  <c r="I69" i="3"/>
  <c r="I56" i="3"/>
  <c r="I41" i="3"/>
  <c r="I28" i="3"/>
  <c r="I15" i="3"/>
  <c r="E43" i="10" l="1"/>
  <c r="G43" i="10" s="1"/>
  <c r="F43" i="10"/>
  <c r="G68" i="10"/>
  <c r="F68" i="10"/>
  <c r="G35" i="10"/>
  <c r="F56" i="10"/>
  <c r="F267" i="2"/>
  <c r="F266" i="2"/>
  <c r="F265" i="2"/>
  <c r="F264" i="2"/>
  <c r="F263" i="2"/>
  <c r="F262" i="2"/>
  <c r="F261" i="2"/>
  <c r="F260" i="2"/>
  <c r="H132" i="2"/>
  <c r="H124" i="2"/>
  <c r="H116" i="2"/>
  <c r="H108" i="2"/>
  <c r="H99" i="2"/>
  <c r="H91" i="2"/>
  <c r="H88" i="2"/>
  <c r="F88" i="2"/>
  <c r="G87" i="2" s="1"/>
  <c r="D88" i="2"/>
  <c r="E75" i="2" s="1"/>
  <c r="D25" i="1"/>
  <c r="D30" i="1"/>
  <c r="D29" i="1"/>
  <c r="D28" i="1"/>
  <c r="D27" i="1"/>
  <c r="D26" i="1"/>
  <c r="F268" i="2" l="1"/>
  <c r="E77" i="2"/>
  <c r="E81" i="2"/>
  <c r="E85" i="2"/>
  <c r="G84" i="2"/>
  <c r="G77" i="2"/>
  <c r="G81" i="2"/>
  <c r="G85" i="2"/>
  <c r="E86" i="2"/>
  <c r="E76" i="2"/>
  <c r="E84" i="2"/>
  <c r="G80" i="2"/>
  <c r="G78" i="2"/>
  <c r="G82" i="2"/>
  <c r="G86" i="2"/>
  <c r="E80" i="2"/>
  <c r="G76" i="2"/>
  <c r="E82" i="2"/>
  <c r="E79" i="2"/>
  <c r="E83" i="2"/>
  <c r="E87" i="2"/>
  <c r="E78" i="2"/>
  <c r="G75" i="2"/>
  <c r="G79" i="2"/>
  <c r="G83" i="2"/>
</calcChain>
</file>

<file path=xl/sharedStrings.xml><?xml version="1.0" encoding="utf-8"?>
<sst xmlns="http://schemas.openxmlformats.org/spreadsheetml/2006/main" count="1647" uniqueCount="729">
  <si>
    <t>Fundraising Strategy</t>
  </si>
  <si>
    <t>Team Members</t>
  </si>
  <si>
    <t>Name</t>
  </si>
  <si>
    <t>Role</t>
  </si>
  <si>
    <t>Guiding Principles</t>
  </si>
  <si>
    <t>Vision Statement</t>
  </si>
  <si>
    <t>Mission Statement</t>
  </si>
  <si>
    <t>Values Statement</t>
  </si>
  <si>
    <t>Financials</t>
  </si>
  <si>
    <t>Annual Operating Budget</t>
  </si>
  <si>
    <t>Revenue</t>
  </si>
  <si>
    <t>Expenses</t>
  </si>
  <si>
    <t>Net Assets</t>
  </si>
  <si>
    <t>Comments</t>
  </si>
  <si>
    <t>Year 1</t>
  </si>
  <si>
    <t>Year 2</t>
  </si>
  <si>
    <t>Year 3</t>
  </si>
  <si>
    <t>Year 4</t>
  </si>
  <si>
    <t>Year 5</t>
  </si>
  <si>
    <t>Capital Projects</t>
  </si>
  <si>
    <t>Project Name</t>
  </si>
  <si>
    <t>Project Budget</t>
  </si>
  <si>
    <t>Target Year</t>
  </si>
  <si>
    <t>Progress</t>
  </si>
  <si>
    <t>Potential Issues</t>
  </si>
  <si>
    <t>Area</t>
  </si>
  <si>
    <t>Description</t>
  </si>
  <si>
    <t>SWOT ANALYSIS</t>
  </si>
  <si>
    <t>Internal</t>
  </si>
  <si>
    <t>Priority</t>
  </si>
  <si>
    <t>Strengths</t>
  </si>
  <si>
    <t>Weaknesses</t>
  </si>
  <si>
    <t>External</t>
  </si>
  <si>
    <t>Opportunities</t>
  </si>
  <si>
    <t>Threats</t>
  </si>
  <si>
    <t>Priorities</t>
  </si>
  <si>
    <t>Focus Area</t>
  </si>
  <si>
    <t>SWOT Items</t>
  </si>
  <si>
    <t>Key Performance Indicators</t>
  </si>
  <si>
    <t>Indicator</t>
  </si>
  <si>
    <t>Current</t>
  </si>
  <si>
    <t>Target</t>
  </si>
  <si>
    <t>Delta</t>
  </si>
  <si>
    <t>Strategic Objectives</t>
  </si>
  <si>
    <t>Action</t>
  </si>
  <si>
    <t>Detail</t>
  </si>
  <si>
    <t>Outcome</t>
  </si>
  <si>
    <t>Executive Summary</t>
  </si>
  <si>
    <t>Fundraising Plan</t>
  </si>
  <si>
    <t>YEAR GOALS</t>
  </si>
  <si>
    <t>Impact Goal</t>
  </si>
  <si>
    <t>Overall Fundraising Goals</t>
  </si>
  <si>
    <t>Operating</t>
  </si>
  <si>
    <t>Capital</t>
  </si>
  <si>
    <t>Annual KPI Targets</t>
  </si>
  <si>
    <t>Implementation of Objectives</t>
  </si>
  <si>
    <t>Objective</t>
  </si>
  <si>
    <t>Responsible</t>
  </si>
  <si>
    <t>Due Date</t>
  </si>
  <si>
    <t>Revenue Sources</t>
  </si>
  <si>
    <t>Method</t>
  </si>
  <si>
    <t>Constituents</t>
  </si>
  <si>
    <t>Current Revenue</t>
  </si>
  <si>
    <t>Percent</t>
  </si>
  <si>
    <t>New Revenue</t>
  </si>
  <si>
    <t>New Percent</t>
  </si>
  <si>
    <t>Annual Gifts</t>
  </si>
  <si>
    <t>Individuals</t>
  </si>
  <si>
    <t>Special Appeals</t>
  </si>
  <si>
    <t>Major Gifts</t>
  </si>
  <si>
    <t>Online Giving</t>
  </si>
  <si>
    <t>P2P Campaigns</t>
  </si>
  <si>
    <t>Membership Dues</t>
  </si>
  <si>
    <t>Planned Giving</t>
  </si>
  <si>
    <t>Corporate Sponsorship</t>
  </si>
  <si>
    <t>Corporate</t>
  </si>
  <si>
    <t>Event Sponsorships</t>
  </si>
  <si>
    <t>Event Sales</t>
  </si>
  <si>
    <t>Grants</t>
  </si>
  <si>
    <t>Foundations</t>
  </si>
  <si>
    <t>Service Fees</t>
  </si>
  <si>
    <t>Clients</t>
  </si>
  <si>
    <t>Other</t>
  </si>
  <si>
    <t>TOTAL</t>
  </si>
  <si>
    <t>Amount Needed</t>
  </si>
  <si>
    <t>Funding Source</t>
  </si>
  <si>
    <t>Projected Amount</t>
  </si>
  <si>
    <t>Target Date</t>
  </si>
  <si>
    <t>Action Plan</t>
  </si>
  <si>
    <t>Number Sent</t>
  </si>
  <si>
    <t>Target Response Rate</t>
  </si>
  <si>
    <t>Average Gift</t>
  </si>
  <si>
    <t>Activity</t>
  </si>
  <si>
    <t>Impressions</t>
  </si>
  <si>
    <t>Clicks</t>
  </si>
  <si>
    <t>Cost per Click</t>
  </si>
  <si>
    <t>Peer to Peer Campaigns</t>
  </si>
  <si>
    <t>Number of Teams</t>
  </si>
  <si>
    <t>Number of Fundraisers</t>
  </si>
  <si>
    <t>Number of Donors</t>
  </si>
  <si>
    <t>Number of Committed Planned Gifts</t>
  </si>
  <si>
    <t>Asks</t>
  </si>
  <si>
    <t>Response Rate</t>
  </si>
  <si>
    <t>Memberships</t>
  </si>
  <si>
    <t>Total # Members</t>
  </si>
  <si>
    <t>New Members</t>
  </si>
  <si>
    <t>Renewal Rate</t>
  </si>
  <si>
    <t>Corporate Sponsorships</t>
  </si>
  <si>
    <t>Total # Sponsors</t>
  </si>
  <si>
    <t>New Sponsors</t>
  </si>
  <si>
    <t>Corporate Sponsors</t>
  </si>
  <si>
    <t>Company Name</t>
  </si>
  <si>
    <t>Target Ask</t>
  </si>
  <si>
    <t>Project</t>
  </si>
  <si>
    <t>Grant Applications</t>
  </si>
  <si>
    <t>Foundation</t>
  </si>
  <si>
    <t>Ask</t>
  </si>
  <si>
    <t>Events</t>
  </si>
  <si>
    <t>Attendees</t>
  </si>
  <si>
    <t>Return Attendees</t>
  </si>
  <si>
    <t>Donor Conversion</t>
  </si>
  <si>
    <t>Sponsorships</t>
  </si>
  <si>
    <t>Giving Pyramid</t>
  </si>
  <si>
    <t>Gift Amount</t>
  </si>
  <si>
    <t>Number of Gifts</t>
  </si>
  <si>
    <t>Sub-total</t>
  </si>
  <si>
    <t>Grand Total</t>
  </si>
  <si>
    <t>Major Donors</t>
  </si>
  <si>
    <t>Donor Name</t>
  </si>
  <si>
    <t>Calendar</t>
  </si>
  <si>
    <t>Month</t>
  </si>
  <si>
    <t>Date</t>
  </si>
  <si>
    <t># of Campaigns</t>
  </si>
  <si>
    <t>Amount 
Raised</t>
  </si>
  <si>
    <t>New Expenses</t>
  </si>
  <si>
    <t>Stage</t>
  </si>
  <si>
    <t>Source</t>
  </si>
  <si>
    <t>Principles of a Vision Statement</t>
  </si>
  <si>
    <t>Idealistic</t>
  </si>
  <si>
    <t>High Impact</t>
  </si>
  <si>
    <t>Future-oriented</t>
  </si>
  <si>
    <t>Inspiring</t>
  </si>
  <si>
    <t>Specific</t>
  </si>
  <si>
    <t>Focused</t>
  </si>
  <si>
    <t>Qualities</t>
  </si>
  <si>
    <t>How should this issue change?</t>
  </si>
  <si>
    <t>What is the main issue we want to address?</t>
  </si>
  <si>
    <t>What will be the impact in the community or  world?</t>
  </si>
  <si>
    <t>Steps to Create A Vision Statement</t>
  </si>
  <si>
    <t>Meets the Criteria?</t>
  </si>
  <si>
    <t>The organization's vision statement is:</t>
  </si>
  <si>
    <t>Steps to Create A Mission Statement</t>
  </si>
  <si>
    <t>Why does your organizaiton exist?</t>
  </si>
  <si>
    <t>Who do you serve?</t>
  </si>
  <si>
    <t>How do you serve the clients?</t>
  </si>
  <si>
    <t>Identifies the issue being addressed</t>
  </si>
  <si>
    <t>Principles of a MIssion Statement</t>
  </si>
  <si>
    <t>Present-oriented</t>
  </si>
  <si>
    <t>Identifies those being served</t>
  </si>
  <si>
    <t>Clearly outlines the services provided</t>
  </si>
  <si>
    <t>Achievable</t>
  </si>
  <si>
    <t>Easy to Communicate (No Jargon)</t>
  </si>
  <si>
    <t>Easy to understand in simple terms - one or two sentences</t>
  </si>
  <si>
    <t>Motivating</t>
  </si>
  <si>
    <t>The organization's mission statement is:</t>
  </si>
  <si>
    <t>What is the outcome of your services?</t>
  </si>
  <si>
    <t>Value Words</t>
  </si>
  <si>
    <t>Abundance</t>
  </si>
  <si>
    <t>Acceptance</t>
  </si>
  <si>
    <t>Accomplishment</t>
  </si>
  <si>
    <t>Accountability</t>
  </si>
  <si>
    <t>Accuracy</t>
  </si>
  <si>
    <t>Achievement</t>
  </si>
  <si>
    <t>Adaptability</t>
  </si>
  <si>
    <t>Adventure</t>
  </si>
  <si>
    <t>Affection</t>
  </si>
  <si>
    <t>Alertness</t>
  </si>
  <si>
    <t>Ambition</t>
  </si>
  <si>
    <t>Assertiveness</t>
  </si>
  <si>
    <t>Attentive</t>
  </si>
  <si>
    <t>Authenticity</t>
  </si>
  <si>
    <t>Awareness</t>
  </si>
  <si>
    <t>Balance</t>
  </si>
  <si>
    <t>Beauty</t>
  </si>
  <si>
    <t>Boldness</t>
  </si>
  <si>
    <t>Bravery</t>
  </si>
  <si>
    <t>Brilliance</t>
  </si>
  <si>
    <t>Calmness</t>
  </si>
  <si>
    <t>Capable</t>
  </si>
  <si>
    <t>Careful</t>
  </si>
  <si>
    <t>Caring</t>
  </si>
  <si>
    <t>Certainty</t>
  </si>
  <si>
    <t>Challenge</t>
  </si>
  <si>
    <t>Charity</t>
  </si>
  <si>
    <t>Cleanliness</t>
  </si>
  <si>
    <t>Clear</t>
  </si>
  <si>
    <t>Clever</t>
  </si>
  <si>
    <t>Comfort</t>
  </si>
  <si>
    <t>Commitment</t>
  </si>
  <si>
    <t>Communication</t>
  </si>
  <si>
    <t>Community</t>
  </si>
  <si>
    <t>Compassion</t>
  </si>
  <si>
    <t>Competence</t>
  </si>
  <si>
    <t>Confidence</t>
  </si>
  <si>
    <t>Consistency</t>
  </si>
  <si>
    <t>Contentment</t>
  </si>
  <si>
    <t>Contribution</t>
  </si>
  <si>
    <t>Control</t>
  </si>
  <si>
    <t>Cooperation</t>
  </si>
  <si>
    <t>Courage</t>
  </si>
  <si>
    <t>Courtesy</t>
  </si>
  <si>
    <t>Creativity</t>
  </si>
  <si>
    <t>Credibility</t>
  </si>
  <si>
    <t>Curiosity</t>
  </si>
  <si>
    <t>Decisiveness</t>
  </si>
  <si>
    <t>Dedication</t>
  </si>
  <si>
    <t>Dependability</t>
  </si>
  <si>
    <t>Determination</t>
  </si>
  <si>
    <t>Devotion</t>
  </si>
  <si>
    <t>Dignity</t>
  </si>
  <si>
    <t>Discipline</t>
  </si>
  <si>
    <t>Diversity</t>
  </si>
  <si>
    <t>Efficiency</t>
  </si>
  <si>
    <t>Empathy</t>
  </si>
  <si>
    <t>Endurance</t>
  </si>
  <si>
    <t>Energy</t>
  </si>
  <si>
    <t>Enjoyment</t>
  </si>
  <si>
    <t>Enthusiasm</t>
  </si>
  <si>
    <t>Equality</t>
  </si>
  <si>
    <t>Ethical</t>
  </si>
  <si>
    <t>Excellence</t>
  </si>
  <si>
    <t>Excitement</t>
  </si>
  <si>
    <t>Experience</t>
  </si>
  <si>
    <t>Expertise</t>
  </si>
  <si>
    <t>Exploration</t>
  </si>
  <si>
    <t>Fairness</t>
  </si>
  <si>
    <t>Faith</t>
  </si>
  <si>
    <t>Family</t>
  </si>
  <si>
    <t>Fearless</t>
  </si>
  <si>
    <t>Fidelity</t>
  </si>
  <si>
    <t>Fitness</t>
  </si>
  <si>
    <t>Focus</t>
  </si>
  <si>
    <t>Foresight</t>
  </si>
  <si>
    <t>Forgiveness</t>
  </si>
  <si>
    <t>Freedom</t>
  </si>
  <si>
    <t>Friendship</t>
  </si>
  <si>
    <t>Fun</t>
  </si>
  <si>
    <t>Generosity</t>
  </si>
  <si>
    <t>Giving</t>
  </si>
  <si>
    <t>Goodness</t>
  </si>
  <si>
    <t>Grace</t>
  </si>
  <si>
    <t>Gratitude</t>
  </si>
  <si>
    <t>Growth</t>
  </si>
  <si>
    <t>Happiness</t>
  </si>
  <si>
    <t>Hard Work</t>
  </si>
  <si>
    <t>Harmony</t>
  </si>
  <si>
    <t>Health</t>
  </si>
  <si>
    <t>Honesty</t>
  </si>
  <si>
    <t>Honor</t>
  </si>
  <si>
    <t>Humility</t>
  </si>
  <si>
    <t>Humor</t>
  </si>
  <si>
    <t>Imagination</t>
  </si>
  <si>
    <t>Independence</t>
  </si>
  <si>
    <t>Individuality</t>
  </si>
  <si>
    <t>Inner Harmony</t>
  </si>
  <si>
    <t>Innovation</t>
  </si>
  <si>
    <t>Insightful</t>
  </si>
  <si>
    <t>Integrity</t>
  </si>
  <si>
    <t>Intelligence</t>
  </si>
  <si>
    <t>Intuitive</t>
  </si>
  <si>
    <t>Joy</t>
  </si>
  <si>
    <t>Justice</t>
  </si>
  <si>
    <t>Kindness</t>
  </si>
  <si>
    <t>Knowledge</t>
  </si>
  <si>
    <t>Lawful</t>
  </si>
  <si>
    <t>Leadership</t>
  </si>
  <si>
    <t>Learning</t>
  </si>
  <si>
    <t>Logic</t>
  </si>
  <si>
    <t>Love</t>
  </si>
  <si>
    <t>Loyalty</t>
  </si>
  <si>
    <t>Mastery</t>
  </si>
  <si>
    <t>Maturity</t>
  </si>
  <si>
    <t>Meaning</t>
  </si>
  <si>
    <t>Moderation</t>
  </si>
  <si>
    <t>Motivation</t>
  </si>
  <si>
    <t>Obedience</t>
  </si>
  <si>
    <t>Openness</t>
  </si>
  <si>
    <t>Optimism</t>
  </si>
  <si>
    <t>Order</t>
  </si>
  <si>
    <t>Organization</t>
  </si>
  <si>
    <t>Originality</t>
  </si>
  <si>
    <t>Passion</t>
  </si>
  <si>
    <t>Patience</t>
  </si>
  <si>
    <t>Patriotism</t>
  </si>
  <si>
    <t>Peace</t>
  </si>
  <si>
    <t>Playfulness</t>
  </si>
  <si>
    <t>Poise</t>
  </si>
  <si>
    <t>Positivity</t>
  </si>
  <si>
    <t>Power</t>
  </si>
  <si>
    <t>Productivity</t>
  </si>
  <si>
    <t>Professionalism</t>
  </si>
  <si>
    <t>Prosperity</t>
  </si>
  <si>
    <t>Purpose</t>
  </si>
  <si>
    <t>Quality</t>
  </si>
  <si>
    <t>Recognition</t>
  </si>
  <si>
    <t>Respect</t>
  </si>
  <si>
    <t>Responsibility</t>
  </si>
  <si>
    <t>Restraint</t>
  </si>
  <si>
    <t>Results-oriented</t>
  </si>
  <si>
    <t>Rigor</t>
  </si>
  <si>
    <t>Security</t>
  </si>
  <si>
    <t>Self-actualization</t>
  </si>
  <si>
    <t>Self-development</t>
  </si>
  <si>
    <t>Self-reliance</t>
  </si>
  <si>
    <t>Self-respect</t>
  </si>
  <si>
    <t>Selfless</t>
  </si>
  <si>
    <t>Sensitivity</t>
  </si>
  <si>
    <t>Serenity</t>
  </si>
  <si>
    <t>Service</t>
  </si>
  <si>
    <t>Sharing</t>
  </si>
  <si>
    <t>Silence</t>
  </si>
  <si>
    <t>Simplicity</t>
  </si>
  <si>
    <t>Sincerity</t>
  </si>
  <si>
    <t>Skillfulness</t>
  </si>
  <si>
    <t>Speed</t>
  </si>
  <si>
    <t>Spirituality</t>
  </si>
  <si>
    <t>Stability</t>
  </si>
  <si>
    <t>Stewardship</t>
  </si>
  <si>
    <t>Strength</t>
  </si>
  <si>
    <t>Structure</t>
  </si>
  <si>
    <t>Success</t>
  </si>
  <si>
    <t>Support</t>
  </si>
  <si>
    <t>Surprise</t>
  </si>
  <si>
    <t>Sustainability</t>
  </si>
  <si>
    <t>Teamwork</t>
  </si>
  <si>
    <t>Temperance</t>
  </si>
  <si>
    <t>Thankful</t>
  </si>
  <si>
    <t>Thorough</t>
  </si>
  <si>
    <t>Thoughtful</t>
  </si>
  <si>
    <t>Timeliness</t>
  </si>
  <si>
    <t>Tolerance</t>
  </si>
  <si>
    <t>Toughness</t>
  </si>
  <si>
    <t>Traditional</t>
  </si>
  <si>
    <t>Tranquility</t>
  </si>
  <si>
    <t>Transparency</t>
  </si>
  <si>
    <t>Trustworthy</t>
  </si>
  <si>
    <t>Understanding</t>
  </si>
  <si>
    <t>Uniqueness</t>
  </si>
  <si>
    <t>Unity</t>
  </si>
  <si>
    <t>Vision</t>
  </si>
  <si>
    <t>Vitality</t>
  </si>
  <si>
    <t>Welcoming</t>
  </si>
  <si>
    <t>Winning</t>
  </si>
  <si>
    <t>Wisdom</t>
  </si>
  <si>
    <t>Education</t>
  </si>
  <si>
    <t>Drive</t>
  </si>
  <si>
    <t>Impact</t>
  </si>
  <si>
    <t>Environment</t>
  </si>
  <si>
    <t>Steps to Create a Values Statement</t>
  </si>
  <si>
    <t>What values do you need to successfully reach your vision?</t>
  </si>
  <si>
    <t>What values do you need to implement your mission?</t>
  </si>
  <si>
    <t>What culture do you wish your organization to exemplify?</t>
  </si>
  <si>
    <t>What values are important to your clients, donors, and staff?</t>
  </si>
  <si>
    <t>The organization's value statement is:</t>
  </si>
  <si>
    <t>Principles of a Values Statement</t>
  </si>
  <si>
    <t>Values are easily identified and exemplified by leadership</t>
  </si>
  <si>
    <t>Values are relevant to day to day operations</t>
  </si>
  <si>
    <t>Values impact client experiences</t>
  </si>
  <si>
    <t>Values resonate with donors</t>
  </si>
  <si>
    <t>Values are easy to understand and support vision &amp; mission</t>
  </si>
  <si>
    <t>STRENGTHS</t>
  </si>
  <si>
    <t>Alignment</t>
  </si>
  <si>
    <t>Total</t>
  </si>
  <si>
    <t>Why?</t>
  </si>
  <si>
    <t>Second</t>
  </si>
  <si>
    <t>First</t>
  </si>
  <si>
    <t>Final 2nd</t>
  </si>
  <si>
    <t xml:space="preserve">Final 1st </t>
  </si>
  <si>
    <t>Third</t>
  </si>
  <si>
    <t>Final 3rd</t>
  </si>
  <si>
    <t>Fourth</t>
  </si>
  <si>
    <t>Final 4th</t>
  </si>
  <si>
    <t>Fifth</t>
  </si>
  <si>
    <t>Final 5th</t>
  </si>
  <si>
    <t>Ideas to leverage this strength:</t>
  </si>
  <si>
    <t xml:space="preserve">Final 2nd </t>
  </si>
  <si>
    <t xml:space="preserve">Final 3rd </t>
  </si>
  <si>
    <t>Sixth</t>
  </si>
  <si>
    <t>Final 6th</t>
  </si>
  <si>
    <t>Ease</t>
  </si>
  <si>
    <t>Cost</t>
  </si>
  <si>
    <t>Total/Priority</t>
  </si>
  <si>
    <t xml:space="preserve">Final 4th </t>
  </si>
  <si>
    <t>Final 1st</t>
  </si>
  <si>
    <t>Ideas to address this weakness:</t>
  </si>
  <si>
    <t>INTERNAL SWOT ANALYSIS</t>
  </si>
  <si>
    <t>EXTERNAL SWOT ANALYSIS</t>
  </si>
  <si>
    <t>OPPORTUNITIES</t>
  </si>
  <si>
    <t>Ideas to take advantage of this opportunity:</t>
  </si>
  <si>
    <t>THREATS</t>
  </si>
  <si>
    <t>Ideas to mitigate this threat:</t>
  </si>
  <si>
    <t>WEAKNESSES</t>
  </si>
  <si>
    <t>STRATEGIC OBJECTIVES</t>
  </si>
  <si>
    <t>DETAIL</t>
  </si>
  <si>
    <t>OUTCOME</t>
  </si>
  <si>
    <t>OBJECTIVE 1</t>
  </si>
  <si>
    <t>Financial</t>
  </si>
  <si>
    <t>Operations</t>
  </si>
  <si>
    <t>Personnel</t>
  </si>
  <si>
    <t>Social</t>
  </si>
  <si>
    <t>OBJECTIVE 2</t>
  </si>
  <si>
    <t>OBJECTIVE 3</t>
  </si>
  <si>
    <t>OBJECTIVE 4</t>
  </si>
  <si>
    <t>OBJECTIVE 5</t>
  </si>
  <si>
    <t>OBJECTIVE 6</t>
  </si>
  <si>
    <t>OBJECTIVE 7</t>
  </si>
  <si>
    <t>OBJECTIVE 8</t>
  </si>
  <si>
    <t>OBJECTIVE 9</t>
  </si>
  <si>
    <t>OBJECTIVE 10</t>
  </si>
  <si>
    <t>OBJECTIVE 11</t>
  </si>
  <si>
    <t>OBJECTIVE 12</t>
  </si>
  <si>
    <t>OBJECTIVE 13</t>
  </si>
  <si>
    <t>OBJECTIVE 14</t>
  </si>
  <si>
    <t>Risk</t>
  </si>
  <si>
    <t>ACTION</t>
  </si>
  <si>
    <t>Strategic Priority</t>
  </si>
  <si>
    <r>
      <rPr>
        <b/>
        <sz val="9"/>
        <rFont val="Century Gothic"/>
        <family val="2"/>
      </rPr>
      <t>Financial Impact:</t>
    </r>
    <r>
      <rPr>
        <sz val="9"/>
        <rFont val="Century Gothic"/>
        <family val="2"/>
      </rPr>
      <t xml:space="preserve"> Revenue generation or cost reduction/avoidance</t>
    </r>
  </si>
  <si>
    <r>
      <rPr>
        <b/>
        <sz val="9"/>
        <rFont val="Century Gothic"/>
        <family val="2"/>
      </rPr>
      <t>Operations Impact:</t>
    </r>
    <r>
      <rPr>
        <sz val="9"/>
        <rFont val="Century Gothic"/>
        <family val="2"/>
      </rPr>
      <t xml:space="preserve"> More efficient activities or better delivery of service</t>
    </r>
  </si>
  <si>
    <r>
      <rPr>
        <b/>
        <sz val="9"/>
        <rFont val="Century Gothic"/>
        <family val="2"/>
      </rPr>
      <t>Personnel Impact:</t>
    </r>
    <r>
      <rPr>
        <sz val="9"/>
        <rFont val="Century Gothic"/>
        <family val="2"/>
      </rPr>
      <t xml:space="preserve"> Improves culture, communication, leadership, or education of staff</t>
    </r>
  </si>
  <si>
    <r>
      <rPr>
        <b/>
        <sz val="9"/>
        <rFont val="Century Gothic"/>
        <family val="2"/>
      </rPr>
      <t>Social Impact:</t>
    </r>
    <r>
      <rPr>
        <sz val="9"/>
        <rFont val="Century Gothic"/>
        <family val="2"/>
      </rPr>
      <t xml:space="preserve"> Improves ability to serve clients - directly moving towards vision</t>
    </r>
  </si>
  <si>
    <r>
      <rPr>
        <b/>
        <sz val="9"/>
        <rFont val="Century Gothic"/>
        <family val="2"/>
      </rPr>
      <t>Risk Factor:</t>
    </r>
    <r>
      <rPr>
        <sz val="9"/>
        <rFont val="Century Gothic"/>
        <family val="2"/>
      </rPr>
      <t xml:space="preserve"> Level of effort, scope, criticality of activies affected, or potential for unexpected outcome</t>
    </r>
  </si>
  <si>
    <t>OBJECTIVE 15</t>
  </si>
  <si>
    <t>Revenue Impact</t>
  </si>
  <si>
    <t>Expenses Impact</t>
  </si>
  <si>
    <t>Net Budget Change</t>
  </si>
  <si>
    <t>Donor Engagement</t>
  </si>
  <si>
    <t>Connect</t>
  </si>
  <si>
    <t>Donation Pages</t>
  </si>
  <si>
    <t>Text Link</t>
  </si>
  <si>
    <t>QR Code</t>
  </si>
  <si>
    <t>Web Link</t>
  </si>
  <si>
    <t>Event Pages</t>
  </si>
  <si>
    <t>Membership Pages</t>
  </si>
  <si>
    <t>P2P Campaign Pages</t>
  </si>
  <si>
    <t>Volunteer Registration Pages</t>
  </si>
  <si>
    <t>Email List Sign Up</t>
  </si>
  <si>
    <t>Text List Sign Up</t>
  </si>
  <si>
    <t>Welcome Packages</t>
  </si>
  <si>
    <t>Frequency</t>
  </si>
  <si>
    <t>Learn</t>
  </si>
  <si>
    <t>Surveys Sent</t>
  </si>
  <si>
    <t>Donor Research</t>
  </si>
  <si>
    <t>Engage</t>
  </si>
  <si>
    <t>Guest Writers</t>
  </si>
  <si>
    <t>Volunteer Trainers</t>
  </si>
  <si>
    <t>P2P Team Leaders</t>
  </si>
  <si>
    <t>Behind the scenes Tours</t>
  </si>
  <si>
    <t>Mentor 99 Society</t>
  </si>
  <si>
    <t>Donor Cocktail Parties</t>
  </si>
  <si>
    <t>Invite</t>
  </si>
  <si>
    <t>Current recurring</t>
  </si>
  <si>
    <t>Target recurring</t>
  </si>
  <si>
    <t>Change</t>
  </si>
  <si>
    <t>Current Pledges</t>
  </si>
  <si>
    <t>Target Pledges</t>
  </si>
  <si>
    <t>Major Gift Proposals 23</t>
  </si>
  <si>
    <t>Major Gift Proposals 24</t>
  </si>
  <si>
    <t>Appreciate</t>
  </si>
  <si>
    <t>Motivate</t>
  </si>
  <si>
    <t>Inspire</t>
  </si>
  <si>
    <t>Website</t>
  </si>
  <si>
    <t>Site Visitors Last Year</t>
  </si>
  <si>
    <t>Site Visitors Goal</t>
  </si>
  <si>
    <t>% Change</t>
  </si>
  <si>
    <t>Bounce Rate Last Year</t>
  </si>
  <si>
    <t>Bounce Rate Goal</t>
  </si>
  <si>
    <t>Session Duration Last Year</t>
  </si>
  <si>
    <t>Session Duration Goal</t>
  </si>
  <si>
    <t>Conversion Rate Last Yr</t>
  </si>
  <si>
    <t>Conversion Rate Goal</t>
  </si>
  <si>
    <t>Outreach</t>
  </si>
  <si>
    <t>Outreaches Last Year</t>
  </si>
  <si>
    <t>Outreaches This Year</t>
  </si>
  <si>
    <t>Last Year Attendees</t>
  </si>
  <si>
    <t>Projected Attendees</t>
  </si>
  <si>
    <t>Partnerships</t>
  </si>
  <si>
    <t>Partnerships Last Year</t>
  </si>
  <si>
    <t>Partnerships This Year</t>
  </si>
  <si>
    <t>Public Relations</t>
  </si>
  <si>
    <t>Features Last Year</t>
  </si>
  <si>
    <t>Features This Year</t>
  </si>
  <si>
    <t>Last Year Impressions</t>
  </si>
  <si>
    <t>Projected Impressions</t>
  </si>
  <si>
    <t>Social Media</t>
  </si>
  <si>
    <t>Facebook</t>
  </si>
  <si>
    <t>YouTube</t>
  </si>
  <si>
    <t>Metric</t>
  </si>
  <si>
    <t>Goal</t>
  </si>
  <si>
    <t>Engagment</t>
  </si>
  <si>
    <t>Conversion</t>
  </si>
  <si>
    <t>Instagram</t>
  </si>
  <si>
    <t>TikTok</t>
  </si>
  <si>
    <t>Donor Retention LY</t>
  </si>
  <si>
    <t>Average Gift LY</t>
  </si>
  <si>
    <t>Total # LY</t>
  </si>
  <si>
    <t>Donor Retention GTY</t>
  </si>
  <si>
    <t>Average Gift GTY</t>
  </si>
  <si>
    <t>Total # GTY</t>
  </si>
  <si>
    <t>Major</t>
  </si>
  <si>
    <t>$ Range</t>
  </si>
  <si>
    <t>Goal This Year</t>
  </si>
  <si>
    <t>Actual Last Year</t>
  </si>
  <si>
    <t>Planned Gifts</t>
  </si>
  <si>
    <t>Large</t>
  </si>
  <si>
    <t>Small</t>
  </si>
  <si>
    <t>First Time Donors</t>
  </si>
  <si>
    <t>Repeat Donors</t>
  </si>
  <si>
    <t>Recurring Donors</t>
  </si>
  <si>
    <t>Actual 
Last Year</t>
  </si>
  <si>
    <t>Goal 
This Year</t>
  </si>
  <si>
    <t>Actual 
This Year</t>
  </si>
  <si>
    <t>Actual
This Year</t>
  </si>
  <si>
    <t>(DLY)
Donors 
who gave
last year</t>
  </si>
  <si>
    <t>Type</t>
  </si>
  <si>
    <t>Donor Retention/Churn</t>
  </si>
  <si>
    <t>Legacy Members</t>
  </si>
  <si>
    <t>Donors</t>
  </si>
  <si>
    <t>Members</t>
  </si>
  <si>
    <t>Event Attendees</t>
  </si>
  <si>
    <t xml:space="preserve">
# Last Year</t>
  </si>
  <si>
    <r>
      <t xml:space="preserve"> (RD)
Donors who
gave last year </t>
    </r>
    <r>
      <rPr>
        <u/>
        <sz val="9"/>
        <color theme="1"/>
        <rFont val="Century Gothic"/>
        <family val="2"/>
      </rPr>
      <t>and</t>
    </r>
    <r>
      <rPr>
        <sz val="9"/>
        <color theme="1"/>
        <rFont val="Century Gothic"/>
        <family val="2"/>
      </rPr>
      <t xml:space="preserve"> this year</t>
    </r>
  </si>
  <si>
    <t>Donor Retention Rate Last Year</t>
  </si>
  <si>
    <t>Donor Retention Rate this year % RD/DLY</t>
  </si>
  <si>
    <t>Donor 
Churn Rate this year
100% - Donor Retention%</t>
  </si>
  <si>
    <t>Donor Churn Rate % change</t>
  </si>
  <si>
    <t>Donor Retention Rate % change</t>
  </si>
  <si>
    <t>Constituent Category Growth Rates</t>
  </si>
  <si>
    <t xml:space="preserve">
# Actual This Year</t>
  </si>
  <si>
    <t xml:space="preserve">
# Goal This Year</t>
  </si>
  <si>
    <t>Actual
% change
(TY-LY)/LY</t>
  </si>
  <si>
    <t>Goal
% change
(TY-LY)/LY</t>
  </si>
  <si>
    <t>Giving Frequency</t>
  </si>
  <si>
    <t>Donor Lifetime Value</t>
  </si>
  <si>
    <t>Email Open Rates</t>
  </si>
  <si>
    <t>Email Monetization Rates</t>
  </si>
  <si>
    <t>Website Analytics</t>
  </si>
  <si>
    <t>Social Media Analytics</t>
  </si>
  <si>
    <t>Success Rates</t>
  </si>
  <si>
    <t>Fundraising ROI</t>
  </si>
  <si>
    <t>Cost Per Dollar Raised</t>
  </si>
  <si>
    <t>Matching Gifts</t>
  </si>
  <si>
    <t>First Time vs. Repeat Donor Revenue</t>
  </si>
  <si>
    <t>Total Number of Donations</t>
  </si>
  <si>
    <t>Average Gift Last Year</t>
  </si>
  <si>
    <t>Goal Average Gift This Year</t>
  </si>
  <si>
    <t>Actual Total Donations This Year</t>
  </si>
  <si>
    <t>Actual Total Number of Donations This Year</t>
  </si>
  <si>
    <t>Actual Average Gift = Total $/Total Number</t>
  </si>
  <si>
    <t>Average Gift % Change Last Year to This Year</t>
  </si>
  <si>
    <t>Average Gift Delta from Goal</t>
  </si>
  <si>
    <t>Last Year Giving Frequency</t>
  </si>
  <si>
    <t>Goal This Year Giving Frequency</t>
  </si>
  <si>
    <t>Total Number of Donors</t>
  </si>
  <si>
    <t>Frequency = Total #$/Total Donors</t>
  </si>
  <si>
    <t>Frequency % Change Last Year to This Year</t>
  </si>
  <si>
    <t>Frequency Delta from Goal</t>
  </si>
  <si>
    <t>Average Donor Lifespan in Years</t>
  </si>
  <si>
    <t>Average Annual Frequency of Donations</t>
  </si>
  <si>
    <t>Average Donation $ Amount</t>
  </si>
  <si>
    <t>DLV = Lifespan x Avg $ x Freqency</t>
  </si>
  <si>
    <t>Last Year</t>
  </si>
  <si>
    <t>Actual This Year</t>
  </si>
  <si>
    <t>DLV % Change  Last Year to This Year</t>
  </si>
  <si>
    <t>DLV Delta from Goal</t>
  </si>
  <si>
    <t>Total Donations</t>
  </si>
  <si>
    <t>Quarter 1 Target</t>
  </si>
  <si>
    <t>Quarter 1 Actual</t>
  </si>
  <si>
    <t>Total Donations Progress Tracking Q1</t>
  </si>
  <si>
    <t>Total Donations Progress Tracking Q2</t>
  </si>
  <si>
    <t>% of Quarter Goal</t>
  </si>
  <si>
    <t>% of Total Goal</t>
  </si>
  <si>
    <t>Modification Needed?</t>
  </si>
  <si>
    <t>Total Donations Progress Tracking Q3</t>
  </si>
  <si>
    <t>Donations</t>
  </si>
  <si>
    <t>Email &amp; Text Marketing</t>
  </si>
  <si>
    <t>Website &amp; Social Media Analytics</t>
  </si>
  <si>
    <t>Online Giving vs. Offline Giving</t>
  </si>
  <si>
    <t>Online</t>
  </si>
  <si>
    <t>Offline</t>
  </si>
  <si>
    <t>Total Last Year</t>
  </si>
  <si>
    <t>Actual Total This Year</t>
  </si>
  <si>
    <t>% of Giving Goal This Year</t>
  </si>
  <si>
    <t>% of Giving Actual This Year</t>
  </si>
  <si>
    <t>Goal Total 
This Year</t>
  </si>
  <si>
    <t>Pledge Fulfillment</t>
  </si>
  <si>
    <t>Pledge Fulfillment Rate Last Year</t>
  </si>
  <si>
    <t>Goal Pledge Fulfillment Rate This Year</t>
  </si>
  <si>
    <t>Total Number of Pledge Payments Made</t>
  </si>
  <si>
    <t>Total Number of Pledge Payments Due</t>
  </si>
  <si>
    <t>Matching Gifts Received Last Year</t>
  </si>
  <si>
    <t>Percentage of Gifts Matched Last Year</t>
  </si>
  <si>
    <t>Goal Matching Gifts This Year</t>
  </si>
  <si>
    <t>Goal Percentage of Matching Gifts This Year</t>
  </si>
  <si>
    <t>Actual Matching Gifts This Year</t>
  </si>
  <si>
    <t>Matching Gifts Delta from Goal</t>
  </si>
  <si>
    <t>Matching</t>
  </si>
  <si>
    <t>Fundraising Costs</t>
  </si>
  <si>
    <t>ROI Last Year</t>
  </si>
  <si>
    <t>ROI Goal This Year</t>
  </si>
  <si>
    <t>Fundraising Costs This Year</t>
  </si>
  <si>
    <t>Special Appeal</t>
  </si>
  <si>
    <t>Annual Appeal</t>
  </si>
  <si>
    <t>Online Campaigns</t>
  </si>
  <si>
    <t>Revenue This Year</t>
  </si>
  <si>
    <t>ROI Delta from Goal</t>
  </si>
  <si>
    <t>Golf Event</t>
  </si>
  <si>
    <t>Gala Event</t>
  </si>
  <si>
    <t>5K Run &amp; P2P</t>
  </si>
  <si>
    <t>ROI Actual This Year = (Raised-Cost)/Cost</t>
  </si>
  <si>
    <t>Actual Percentage of Matching Gifts This Year = Matching Gifts/Total Gifts</t>
  </si>
  <si>
    <t>% of Giving Last Year = Online/Total or Offline/Total</t>
  </si>
  <si>
    <t>Actual Pledge Fulfillment Rate = Payments Made/ Payments Due</t>
  </si>
  <si>
    <t>Major Gifts &amp; Moves Management</t>
  </si>
  <si>
    <t>Time frame</t>
  </si>
  <si>
    <t>Annually</t>
  </si>
  <si>
    <t>Quarter 1</t>
  </si>
  <si>
    <t>Quarter 2</t>
  </si>
  <si>
    <t>Quarter 3</t>
  </si>
  <si>
    <t>New Donors This Quarter</t>
  </si>
  <si>
    <t>New Donor Acquisition Rate = New Donors/Total Donors</t>
  </si>
  <si>
    <t>Quarter 4</t>
  </si>
  <si>
    <t>New Donor Acquisition Rate</t>
  </si>
  <si>
    <t>New Donor Acquisition Cost</t>
  </si>
  <si>
    <t>New Donors</t>
  </si>
  <si>
    <t>Acquisition Cost Per Donor=Costs /Donors</t>
  </si>
  <si>
    <t>New Donor Acquistition Rate Last Year</t>
  </si>
  <si>
    <t>New Donor Acquisition Goal</t>
  </si>
  <si>
    <t>Total Donors This Quarter = New + Existing</t>
  </si>
  <si>
    <t>New Donor Acquisition Costs Per Donor Goal</t>
  </si>
  <si>
    <t>New Donor Acquisition Costs Per Donor Last Year</t>
  </si>
  <si>
    <t>Actual Total Acquisition Costs This Quarter</t>
  </si>
  <si>
    <t>Acquisition Rate Delta from Goal</t>
  </si>
  <si>
    <t>Acquisition Cost Delta from Goal</t>
  </si>
  <si>
    <t>Cost Per Dollar Raised Last Year</t>
  </si>
  <si>
    <t>Goal Cost Per Dollar Raised This Year</t>
  </si>
  <si>
    <t>Total Fundraising Revenue This Year</t>
  </si>
  <si>
    <t>Total Fundraising Costs This Year</t>
  </si>
  <si>
    <t>Cost Per Dollar Raised This Year</t>
  </si>
  <si>
    <t>% Change Last Year to Goal This Year</t>
  </si>
  <si>
    <t>Delta from Goal</t>
  </si>
  <si>
    <t>Identify</t>
  </si>
  <si>
    <t>Qualify</t>
  </si>
  <si>
    <t>Culitvate</t>
  </si>
  <si>
    <t>Solicit</t>
  </si>
  <si>
    <t>Steward</t>
  </si>
  <si>
    <t>Moves Management Lifecycle Migration</t>
  </si>
  <si>
    <t>invite</t>
  </si>
  <si>
    <t>Recurring</t>
  </si>
  <si>
    <t>Number of Requests Last Year</t>
  </si>
  <si>
    <t>Success Rate Last Year</t>
  </si>
  <si>
    <t>Goal Success Rate This Year</t>
  </si>
  <si>
    <t>Requests This Year</t>
  </si>
  <si>
    <t>Number Funded This Year</t>
  </si>
  <si>
    <t>Success Rate = Number Funded/ Number of Requests</t>
  </si>
  <si>
    <t>Actual Constituents in this Stage Year Begin</t>
  </si>
  <si>
    <t>Goal Constituents in this Stage Year End</t>
  </si>
  <si>
    <t>Constituents in this Stage Year Begin</t>
  </si>
  <si>
    <t>Constituents Dropped From Program in this Stage</t>
  </si>
  <si>
    <t>Delta From Goal</t>
  </si>
  <si>
    <t>Delta From Goal = Actual/Goal</t>
  </si>
  <si>
    <t>Percentge Dropped = Dropped/ Actual</t>
  </si>
  <si>
    <t>Actual Constituents in this Stage Year End</t>
  </si>
  <si>
    <t>Email 1</t>
  </si>
  <si>
    <t>Email 2</t>
  </si>
  <si>
    <t>Email 3</t>
  </si>
  <si>
    <t>Email 4</t>
  </si>
  <si>
    <t>Email 5</t>
  </si>
  <si>
    <t>Email 6</t>
  </si>
  <si>
    <t>Last Year Average Open Rate</t>
  </si>
  <si>
    <t>Goal This Year Open Rate</t>
  </si>
  <si>
    <t>Number of Emails Sent</t>
  </si>
  <si>
    <t>Number Opened</t>
  </si>
  <si>
    <t>Open Rate = Number Opened/ Number Sent</t>
  </si>
  <si>
    <t>Email &amp; Text Marketing (continued)</t>
  </si>
  <si>
    <t>Email Unsubscribe Rates</t>
  </si>
  <si>
    <t>Text Response Rates</t>
  </si>
  <si>
    <t>Last Year Average Response Rate</t>
  </si>
  <si>
    <t>Goal This Year Response Rate</t>
  </si>
  <si>
    <t>Number of Texts Sent</t>
  </si>
  <si>
    <t>Number of Responses</t>
  </si>
  <si>
    <t>Response Rate = Number Opened/ Number Sent</t>
  </si>
  <si>
    <t>Last Year Average Click Rate</t>
  </si>
  <si>
    <t>Number of Clicks</t>
  </si>
  <si>
    <t>Click Rate = Number of Clicks/ Number Sent</t>
  </si>
  <si>
    <t>Last Year Average Monetization Rate</t>
  </si>
  <si>
    <t>Goal This Year Monetization Rate</t>
  </si>
  <si>
    <t>Number of Transactions</t>
  </si>
  <si>
    <t>Open Rate = Number of Transactions/ Number Sent</t>
  </si>
  <si>
    <t>Last Year Average Unsubscribe Rate</t>
  </si>
  <si>
    <t>Goal This Year Unsubscribe Rate</t>
  </si>
  <si>
    <t>Number Unsubscribed</t>
  </si>
  <si>
    <t>Unsubscribe Rate = Number Unsubscribed/ Number Sent</t>
  </si>
  <si>
    <t>Email Opens Click Rates</t>
  </si>
  <si>
    <t>Number of Emails Opened</t>
  </si>
  <si>
    <t>Goal This Year Open Click Rate</t>
  </si>
  <si>
    <t>Text 1</t>
  </si>
  <si>
    <t>Text 2</t>
  </si>
  <si>
    <t>Text 3</t>
  </si>
  <si>
    <t>Text 4</t>
  </si>
  <si>
    <t>Text 5</t>
  </si>
  <si>
    <t>Text 6</t>
  </si>
  <si>
    <t>Bounce Rate</t>
  </si>
  <si>
    <t>Visitors</t>
  </si>
  <si>
    <t>Email Sign Ups</t>
  </si>
  <si>
    <t>Other CTAs</t>
  </si>
  <si>
    <t>Actual 6 Months</t>
  </si>
  <si>
    <t>Last Year
LY</t>
  </si>
  <si>
    <t>Goal This Year
GTY</t>
  </si>
  <si>
    <t>Actual Final
AF</t>
  </si>
  <si>
    <t>% Change From Previous = (GTY-LY)/LY</t>
  </si>
  <si>
    <t>Final Delta from Goal = (AF-GTY)/GTY</t>
  </si>
  <si>
    <t>Session Duration (minutes)</t>
  </si>
  <si>
    <t>Pages per Session</t>
  </si>
  <si>
    <t>Conversions</t>
  </si>
  <si>
    <t>Engagement</t>
  </si>
  <si>
    <t>Followers</t>
  </si>
  <si>
    <t>X (Formerly Twitter)</t>
  </si>
  <si>
    <t>Average Gift (AKA Revenue Per Donor)</t>
  </si>
  <si>
    <t>Donors (continued)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</si>
</sst>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8"/>
      <color theme="0"/>
      <name val="Century Gothic"/>
      <family val="2"/>
    </font>
    <font>
      <b/>
      <sz val="11"/>
      <color theme="0"/>
      <name val="Century Gothic"/>
      <family val="2"/>
    </font>
    <font>
      <b/>
      <sz val="9"/>
      <color rgb="FF252260"/>
      <name val="Century Gothic"/>
      <family val="2"/>
    </font>
    <font>
      <b/>
      <sz val="9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name val="Century Gothic"/>
      <family val="2"/>
    </font>
    <font>
      <sz val="9"/>
      <color rgb="FF3B3B3B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0"/>
      <color theme="1"/>
      <name val="Century Gothic"/>
      <family val="2"/>
    </font>
    <font>
      <b/>
      <sz val="12"/>
      <color theme="0"/>
      <name val="Century Gothic"/>
      <family val="2"/>
    </font>
    <font>
      <b/>
      <sz val="9"/>
      <name val="Century Gothic"/>
      <family val="2"/>
    </font>
    <font>
      <b/>
      <sz val="16"/>
      <color theme="0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entury Gothic"/>
      <family val="2"/>
    </font>
    <font>
      <sz val="18"/>
      <color theme="1"/>
      <name val="Wingdings"/>
      <charset val="2"/>
    </font>
    <font>
      <sz val="10"/>
      <name val="Century Gothic"/>
      <family val="2"/>
    </font>
    <font>
      <sz val="7"/>
      <color theme="1"/>
      <name val="Century Gothic"/>
      <family val="2"/>
    </font>
    <font>
      <u/>
      <sz val="9"/>
      <color theme="1"/>
      <name val="Century Gothic"/>
      <family val="2"/>
    </font>
    <font>
      <b/>
      <sz val="14"/>
      <color theme="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252260"/>
        <bgColor indexed="64"/>
      </patternFill>
    </fill>
    <fill>
      <patternFill patternType="solid">
        <fgColor rgb="FFF18120"/>
        <bgColor indexed="64"/>
      </patternFill>
    </fill>
    <fill>
      <patternFill patternType="solid">
        <fgColor rgb="FFDD403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F0397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3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6" xfId="1" applyNumberFormat="1" applyFont="1" applyBorder="1" applyAlignment="1">
      <alignment vertical="center" wrapText="1"/>
    </xf>
    <xf numFmtId="164" fontId="2" fillId="0" borderId="6" xfId="1" applyNumberFormat="1" applyFont="1" applyBorder="1" applyAlignment="1">
      <alignment horizontal="left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vertical="center" wrapText="1"/>
    </xf>
    <xf numFmtId="164" fontId="2" fillId="0" borderId="10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9" fontId="2" fillId="0" borderId="6" xfId="2" applyFont="1" applyBorder="1" applyAlignment="1">
      <alignment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164" fontId="2" fillId="0" borderId="7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9" fontId="2" fillId="0" borderId="0" xfId="2" applyFont="1" applyBorder="1" applyAlignment="1">
      <alignment vertical="center" wrapText="1"/>
    </xf>
    <xf numFmtId="9" fontId="2" fillId="0" borderId="0" xfId="2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9" fontId="2" fillId="0" borderId="9" xfId="2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vertical="center" wrapText="1"/>
    </xf>
    <xf numFmtId="164" fontId="2" fillId="0" borderId="19" xfId="1" applyNumberFormat="1" applyFont="1" applyBorder="1" applyAlignment="1">
      <alignment horizontal="center" vertical="center" wrapText="1"/>
    </xf>
    <xf numFmtId="164" fontId="2" fillId="0" borderId="13" xfId="1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14" fontId="2" fillId="0" borderId="6" xfId="2" applyNumberFormat="1" applyFont="1" applyBorder="1" applyAlignment="1">
      <alignment horizontal="center" vertical="center" wrapText="1"/>
    </xf>
    <xf numFmtId="14" fontId="2" fillId="0" borderId="9" xfId="2" applyNumberFormat="1" applyFont="1" applyBorder="1" applyAlignment="1">
      <alignment horizontal="center" vertical="center" wrapText="1"/>
    </xf>
    <xf numFmtId="6" fontId="2" fillId="0" borderId="6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9" fontId="3" fillId="0" borderId="6" xfId="2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4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0" borderId="31" xfId="0" applyNumberFormat="1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4" fillId="0" borderId="0" xfId="0" applyFont="1"/>
    <xf numFmtId="0" fontId="2" fillId="0" borderId="0" xfId="0" applyFont="1" applyAlignment="1">
      <alignment vertical="center"/>
    </xf>
    <xf numFmtId="0" fontId="18" fillId="0" borderId="0" xfId="0" applyFont="1"/>
    <xf numFmtId="0" fontId="10" fillId="0" borderId="5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164" fontId="10" fillId="0" borderId="0" xfId="1" applyNumberFormat="1" applyFont="1" applyFill="1" applyBorder="1" applyAlignment="1">
      <alignment horizontal="center" vertical="center" wrapText="1"/>
    </xf>
    <xf numFmtId="164" fontId="10" fillId="0" borderId="9" xfId="1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2" fontId="12" fillId="0" borderId="9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164" fontId="12" fillId="0" borderId="0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4" fontId="13" fillId="0" borderId="7" xfId="0" applyNumberFormat="1" applyFont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2" fillId="0" borderId="7" xfId="2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6" xfId="2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9" fontId="2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7" xfId="2" applyFont="1" applyBorder="1" applyAlignment="1">
      <alignment vertical="center" wrapText="1"/>
    </xf>
    <xf numFmtId="9" fontId="16" fillId="0" borderId="6" xfId="2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right" vertical="center" wrapText="1"/>
    </xf>
    <xf numFmtId="44" fontId="16" fillId="0" borderId="18" xfId="1" applyFont="1" applyBorder="1" applyAlignment="1">
      <alignment vertical="center" wrapText="1"/>
    </xf>
    <xf numFmtId="165" fontId="16" fillId="0" borderId="47" xfId="3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6" xfId="2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164" fontId="2" fillId="0" borderId="7" xfId="1" applyNumberFormat="1" applyFont="1" applyBorder="1" applyAlignment="1">
      <alignment vertical="center"/>
    </xf>
    <xf numFmtId="9" fontId="2" fillId="0" borderId="7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9" fontId="2" fillId="0" borderId="9" xfId="2" applyFont="1" applyBorder="1" applyAlignment="1">
      <alignment vertical="center"/>
    </xf>
    <xf numFmtId="9" fontId="2" fillId="0" borderId="10" xfId="2" applyFont="1" applyBorder="1" applyAlignment="1">
      <alignment vertical="center"/>
    </xf>
    <xf numFmtId="164" fontId="2" fillId="0" borderId="9" xfId="1" applyNumberFormat="1" applyFont="1" applyBorder="1" applyAlignment="1">
      <alignment vertical="center"/>
    </xf>
    <xf numFmtId="164" fontId="2" fillId="0" borderId="10" xfId="1" applyNumberFormat="1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164" fontId="2" fillId="0" borderId="5" xfId="1" applyNumberFormat="1" applyFont="1" applyBorder="1" applyAlignment="1">
      <alignment vertical="center"/>
    </xf>
    <xf numFmtId="44" fontId="2" fillId="0" borderId="6" xfId="1" applyFont="1" applyBorder="1" applyAlignment="1">
      <alignment vertical="center"/>
    </xf>
    <xf numFmtId="2" fontId="2" fillId="0" borderId="6" xfId="3" applyNumberFormat="1" applyFont="1" applyBorder="1" applyAlignment="1">
      <alignment vertical="center"/>
    </xf>
    <xf numFmtId="44" fontId="2" fillId="0" borderId="9" xfId="1" applyFont="1" applyBorder="1" applyAlignment="1">
      <alignment vertical="center"/>
    </xf>
    <xf numFmtId="2" fontId="2" fillId="0" borderId="9" xfId="3" applyNumberFormat="1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9" fontId="2" fillId="8" borderId="6" xfId="2" applyFont="1" applyFill="1" applyBorder="1" applyAlignment="1">
      <alignment vertical="center"/>
    </xf>
    <xf numFmtId="9" fontId="2" fillId="8" borderId="7" xfId="2" applyFont="1" applyFill="1" applyBorder="1" applyAlignment="1">
      <alignment vertical="center"/>
    </xf>
    <xf numFmtId="0" fontId="2" fillId="8" borderId="7" xfId="0" applyFont="1" applyFill="1" applyBorder="1" applyAlignment="1">
      <alignment horizontal="center" vertical="center" wrapText="1"/>
    </xf>
    <xf numFmtId="164" fontId="16" fillId="0" borderId="7" xfId="1" applyNumberFormat="1" applyFont="1" applyBorder="1" applyAlignment="1">
      <alignment horizontal="center" vertical="center"/>
    </xf>
    <xf numFmtId="164" fontId="16" fillId="0" borderId="10" xfId="1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vertical="center"/>
    </xf>
    <xf numFmtId="9" fontId="2" fillId="0" borderId="6" xfId="2" applyFont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9" fontId="2" fillId="0" borderId="1" xfId="2" applyFont="1" applyBorder="1" applyAlignment="1">
      <alignment vertical="center"/>
    </xf>
    <xf numFmtId="164" fontId="2" fillId="0" borderId="31" xfId="1" applyNumberFormat="1" applyFont="1" applyBorder="1" applyAlignment="1">
      <alignment vertical="center"/>
    </xf>
    <xf numFmtId="164" fontId="2" fillId="0" borderId="8" xfId="1" applyNumberFormat="1" applyFont="1" applyBorder="1" applyAlignment="1">
      <alignment vertical="center"/>
    </xf>
    <xf numFmtId="9" fontId="2" fillId="0" borderId="6" xfId="2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left" vertical="center" wrapText="1"/>
    </xf>
    <xf numFmtId="164" fontId="3" fillId="0" borderId="8" xfId="1" applyNumberFormat="1" applyFont="1" applyBorder="1" applyAlignment="1">
      <alignment horizontal="right" vertical="center"/>
    </xf>
    <xf numFmtId="165" fontId="2" fillId="0" borderId="9" xfId="3" applyNumberFormat="1" applyFont="1" applyBorder="1" applyAlignment="1">
      <alignment vertical="center"/>
    </xf>
    <xf numFmtId="8" fontId="2" fillId="0" borderId="6" xfId="0" applyNumberFormat="1" applyFont="1" applyBorder="1" applyAlignment="1">
      <alignment horizontal="center" vertical="center" wrapText="1"/>
    </xf>
    <xf numFmtId="165" fontId="2" fillId="0" borderId="6" xfId="3" applyNumberFormat="1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right" vertical="center" wrapText="1"/>
    </xf>
    <xf numFmtId="165" fontId="2" fillId="0" borderId="6" xfId="3" applyNumberFormat="1" applyFont="1" applyBorder="1" applyAlignment="1">
      <alignment horizontal="right" vertical="center" wrapText="1"/>
    </xf>
    <xf numFmtId="44" fontId="2" fillId="0" borderId="6" xfId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1" fontId="2" fillId="0" borderId="6" xfId="1" applyNumberFormat="1" applyFont="1" applyBorder="1" applyAlignment="1">
      <alignment horizontal="center" vertical="center"/>
    </xf>
    <xf numFmtId="1" fontId="2" fillId="0" borderId="6" xfId="2" applyNumberFormat="1" applyFont="1" applyBorder="1" applyAlignment="1">
      <alignment horizontal="center" vertical="center"/>
    </xf>
    <xf numFmtId="9" fontId="2" fillId="0" borderId="7" xfId="2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9" fontId="2" fillId="0" borderId="9" xfId="2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9" fontId="2" fillId="0" borderId="10" xfId="2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left" vertical="center"/>
    </xf>
    <xf numFmtId="44" fontId="2" fillId="0" borderId="8" xfId="1" applyFont="1" applyBorder="1" applyAlignment="1">
      <alignment horizontal="left" vertical="center"/>
    </xf>
    <xf numFmtId="164" fontId="2" fillId="0" borderId="9" xfId="2" applyNumberFormat="1" applyFont="1" applyBorder="1" applyAlignment="1">
      <alignment vertical="center"/>
    </xf>
    <xf numFmtId="164" fontId="2" fillId="0" borderId="8" xfId="1" applyNumberFormat="1" applyFont="1" applyBorder="1" applyAlignment="1">
      <alignment horizontal="left" vertical="center" wrapText="1"/>
    </xf>
    <xf numFmtId="44" fontId="2" fillId="0" borderId="9" xfId="1" applyFont="1" applyBorder="1" applyAlignment="1">
      <alignment horizontal="center" vertical="center"/>
    </xf>
    <xf numFmtId="8" fontId="2" fillId="0" borderId="9" xfId="0" applyNumberFormat="1" applyFont="1" applyBorder="1" applyAlignment="1">
      <alignment horizontal="center" vertical="center" wrapText="1"/>
    </xf>
    <xf numFmtId="165" fontId="2" fillId="0" borderId="9" xfId="3" applyNumberFormat="1" applyFont="1" applyBorder="1" applyAlignment="1">
      <alignment horizontal="center" vertical="center"/>
    </xf>
    <xf numFmtId="44" fontId="2" fillId="0" borderId="9" xfId="1" applyFont="1" applyBorder="1" applyAlignment="1">
      <alignment horizontal="center" vertical="center" wrapText="1"/>
    </xf>
    <xf numFmtId="9" fontId="2" fillId="0" borderId="10" xfId="2" applyFont="1" applyBorder="1" applyAlignment="1">
      <alignment horizontal="center" vertical="center" wrapText="1"/>
    </xf>
    <xf numFmtId="165" fontId="2" fillId="0" borderId="9" xfId="3" applyNumberFormat="1" applyFont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/>
    </xf>
    <xf numFmtId="9" fontId="2" fillId="0" borderId="8" xfId="0" applyNumberFormat="1" applyFont="1" applyBorder="1" applyAlignment="1">
      <alignment vertical="center"/>
    </xf>
    <xf numFmtId="9" fontId="2" fillId="8" borderId="9" xfId="2" applyFont="1" applyFill="1" applyBorder="1" applyAlignment="1">
      <alignment vertical="center"/>
    </xf>
    <xf numFmtId="9" fontId="2" fillId="8" borderId="10" xfId="2" applyFont="1" applyFill="1" applyBorder="1" applyAlignment="1">
      <alignment vertical="center"/>
    </xf>
    <xf numFmtId="2" fontId="2" fillId="0" borderId="9" xfId="2" applyNumberFormat="1" applyFont="1" applyBorder="1" applyAlignment="1">
      <alignment vertical="center"/>
    </xf>
    <xf numFmtId="1" fontId="2" fillId="0" borderId="9" xfId="2" applyNumberFormat="1" applyFont="1" applyBorder="1" applyAlignment="1">
      <alignment horizontal="center" vertical="center"/>
    </xf>
    <xf numFmtId="1" fontId="2" fillId="0" borderId="9" xfId="1" applyNumberFormat="1" applyFont="1" applyBorder="1" applyAlignment="1">
      <alignment horizontal="center" vertical="center"/>
    </xf>
    <xf numFmtId="10" fontId="2" fillId="0" borderId="6" xfId="2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1" fontId="2" fillId="0" borderId="6" xfId="3" applyNumberFormat="1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10" fontId="2" fillId="0" borderId="9" xfId="2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6" xfId="2" applyNumberFormat="1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164" fontId="2" fillId="0" borderId="21" xfId="1" applyNumberFormat="1" applyFont="1" applyBorder="1" applyAlignment="1">
      <alignment horizontal="right" vertical="center" wrapText="1"/>
    </xf>
    <xf numFmtId="164" fontId="2" fillId="0" borderId="20" xfId="1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164" fontId="2" fillId="0" borderId="23" xfId="1" applyNumberFormat="1" applyFont="1" applyBorder="1" applyAlignment="1">
      <alignment horizontal="right" vertical="center" wrapText="1"/>
    </xf>
    <xf numFmtId="164" fontId="2" fillId="0" borderId="22" xfId="1" applyNumberFormat="1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7" fillId="4" borderId="21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top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4" fillId="2" borderId="52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15" fillId="3" borderId="43" xfId="0" applyFont="1" applyFill="1" applyBorder="1" applyAlignment="1">
      <alignment horizontal="center" vertical="center" wrapText="1"/>
    </xf>
    <xf numFmtId="0" fontId="15" fillId="3" borderId="44" xfId="0" applyFont="1" applyFill="1" applyBorder="1" applyAlignment="1">
      <alignment horizontal="center" vertical="center" wrapText="1"/>
    </xf>
    <xf numFmtId="0" fontId="15" fillId="3" borderId="45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1" fontId="13" fillId="0" borderId="8" xfId="0" applyNumberFormat="1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vertical="top" wrapText="1"/>
    </xf>
    <xf numFmtId="0" fontId="10" fillId="0" borderId="18" xfId="0" applyFont="1" applyBorder="1" applyAlignment="1">
      <alignment vertical="top" wrapText="1"/>
    </xf>
    <xf numFmtId="0" fontId="10" fillId="0" borderId="20" xfId="0" applyFont="1" applyBorder="1" applyAlignment="1">
      <alignment vertical="top" wrapText="1"/>
    </xf>
    <xf numFmtId="0" fontId="10" fillId="0" borderId="19" xfId="0" applyFont="1" applyBorder="1" applyAlignment="1">
      <alignment vertical="top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164" fontId="12" fillId="0" borderId="9" xfId="1" applyNumberFormat="1" applyFont="1" applyFill="1" applyBorder="1" applyAlignment="1">
      <alignment horizontal="center" vertical="center" wrapText="1"/>
    </xf>
    <xf numFmtId="164" fontId="12" fillId="0" borderId="10" xfId="1" applyNumberFormat="1" applyFont="1" applyFill="1" applyBorder="1" applyAlignment="1">
      <alignment horizontal="center" vertical="center" wrapText="1"/>
    </xf>
    <xf numFmtId="0" fontId="17" fillId="2" borderId="53" xfId="0" applyFont="1" applyFill="1" applyBorder="1" applyAlignment="1">
      <alignment horizontal="center" vertical="center" wrapText="1"/>
    </xf>
    <xf numFmtId="0" fontId="17" fillId="2" borderId="52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right" vertical="center" wrapText="1"/>
    </xf>
    <xf numFmtId="0" fontId="16" fillId="0" borderId="20" xfId="0" applyFont="1" applyBorder="1" applyAlignment="1">
      <alignment horizontal="right" vertical="center" wrapText="1"/>
    </xf>
    <xf numFmtId="0" fontId="16" fillId="0" borderId="18" xfId="0" applyFont="1" applyBorder="1" applyAlignment="1">
      <alignment horizontal="right" vertical="center" wrapText="1"/>
    </xf>
    <xf numFmtId="164" fontId="2" fillId="0" borderId="21" xfId="1" applyNumberFormat="1" applyFont="1" applyBorder="1" applyAlignment="1">
      <alignment horizontal="center" vertical="center" wrapText="1"/>
    </xf>
    <xf numFmtId="164" fontId="2" fillId="0" borderId="20" xfId="1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right" vertical="center" wrapText="1"/>
    </xf>
    <xf numFmtId="0" fontId="3" fillId="0" borderId="36" xfId="0" applyFont="1" applyBorder="1" applyAlignment="1">
      <alignment horizontal="right" vertical="center" wrapText="1"/>
    </xf>
    <xf numFmtId="0" fontId="3" fillId="0" borderId="5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164" fontId="3" fillId="0" borderId="37" xfId="0" applyNumberFormat="1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righ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9" fontId="2" fillId="0" borderId="37" xfId="2" applyFont="1" applyBorder="1" applyAlignment="1">
      <alignment horizontal="center" vertical="center" wrapText="1"/>
    </xf>
    <xf numFmtId="9" fontId="2" fillId="0" borderId="38" xfId="2" applyFont="1" applyBorder="1" applyAlignment="1">
      <alignment horizontal="center" vertical="center" wrapText="1"/>
    </xf>
    <xf numFmtId="9" fontId="2" fillId="0" borderId="39" xfId="2" applyFont="1" applyBorder="1" applyAlignment="1">
      <alignment horizontal="center" vertical="center" wrapText="1"/>
    </xf>
    <xf numFmtId="9" fontId="2" fillId="0" borderId="40" xfId="2" applyFont="1" applyBorder="1" applyAlignment="1">
      <alignment horizontal="center" vertical="center" wrapText="1"/>
    </xf>
    <xf numFmtId="9" fontId="2" fillId="0" borderId="41" xfId="2" applyFont="1" applyBorder="1" applyAlignment="1">
      <alignment horizontal="center" vertical="center" wrapText="1"/>
    </xf>
    <xf numFmtId="9" fontId="2" fillId="0" borderId="42" xfId="2" applyFont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164" fontId="2" fillId="0" borderId="23" xfId="1" applyNumberFormat="1" applyFont="1" applyBorder="1" applyAlignment="1">
      <alignment horizontal="center" vertical="center" wrapText="1"/>
    </xf>
    <xf numFmtId="164" fontId="2" fillId="0" borderId="22" xfId="1" applyNumberFormat="1" applyFont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164" fontId="3" fillId="0" borderId="21" xfId="1" applyNumberFormat="1" applyFont="1" applyBorder="1" applyAlignment="1">
      <alignment horizontal="center" vertical="center" wrapText="1"/>
    </xf>
    <xf numFmtId="164" fontId="3" fillId="0" borderId="20" xfId="1" applyNumberFormat="1" applyFont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7" fillId="3" borderId="6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164" fontId="2" fillId="0" borderId="6" xfId="1" applyNumberFormat="1" applyFont="1" applyFill="1" applyBorder="1" applyAlignment="1">
      <alignment horizontal="center" vertical="center" wrapText="1"/>
    </xf>
    <xf numFmtId="164" fontId="2" fillId="0" borderId="7" xfId="1" applyNumberFormat="1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9" fontId="3" fillId="0" borderId="6" xfId="2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9" fontId="3" fillId="8" borderId="31" xfId="2" applyFont="1" applyFill="1" applyBorder="1" applyAlignment="1">
      <alignment horizontal="center" vertical="center" wrapText="1"/>
    </xf>
    <xf numFmtId="9" fontId="3" fillId="8" borderId="49" xfId="2" applyFont="1" applyFill="1" applyBorder="1" applyAlignment="1">
      <alignment horizontal="center" vertical="center" wrapText="1"/>
    </xf>
    <xf numFmtId="9" fontId="3" fillId="8" borderId="47" xfId="2" applyFont="1" applyFill="1" applyBorder="1" applyAlignment="1">
      <alignment horizontal="center" vertical="center" wrapText="1"/>
    </xf>
    <xf numFmtId="0" fontId="2" fillId="0" borderId="2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25" xfId="0" applyFont="1" applyFill="1" applyBorder="1" applyAlignment="1">
      <alignment horizontal="center" vertical="center"/>
    </xf>
    <xf numFmtId="0" fontId="26" fillId="4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18120"/>
      <color rgb="FFDD4039"/>
      <color rgb="FF252260"/>
      <color rgb="FFDCC5ED"/>
      <color rgb="FF2F0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0D4E-FB6B-4351-A538-8A1C12FC65FF}">
  <dimension ref="A1:H126"/>
  <sheetViews>
    <sheetView zoomScaleNormal="100" workbookViewId="0">
      <selection activeCell="A103" sqref="A103:XFD103"/>
    </sheetView>
  </sheetViews>
  <sheetFormatPr defaultRowHeight="18" customHeight="1" x14ac:dyDescent="0.25"/>
  <cols>
    <col min="1" max="8" width="11.140625" customWidth="1"/>
  </cols>
  <sheetData>
    <row r="1" spans="1:8" ht="30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3"/>
    </row>
    <row r="2" spans="1:8" ht="24" customHeight="1" x14ac:dyDescent="0.25">
      <c r="A2" s="214" t="s">
        <v>1</v>
      </c>
      <c r="B2" s="215"/>
      <c r="C2" s="215"/>
      <c r="D2" s="215"/>
      <c r="E2" s="215"/>
      <c r="F2" s="215"/>
      <c r="G2" s="215"/>
      <c r="H2" s="216"/>
    </row>
    <row r="3" spans="1:8" ht="18" customHeight="1" x14ac:dyDescent="0.25">
      <c r="A3" s="217" t="s">
        <v>2</v>
      </c>
      <c r="B3" s="218"/>
      <c r="C3" s="218"/>
      <c r="D3" s="218"/>
      <c r="E3" s="218" t="s">
        <v>3</v>
      </c>
      <c r="F3" s="218"/>
      <c r="G3" s="218"/>
      <c r="H3" s="219"/>
    </row>
    <row r="4" spans="1:8" ht="18" customHeight="1" x14ac:dyDescent="0.25">
      <c r="A4" s="220"/>
      <c r="B4" s="221"/>
      <c r="C4" s="221"/>
      <c r="D4" s="221"/>
      <c r="E4" s="221"/>
      <c r="F4" s="221"/>
      <c r="G4" s="221"/>
      <c r="H4" s="222"/>
    </row>
    <row r="5" spans="1:8" ht="18" customHeight="1" x14ac:dyDescent="0.25">
      <c r="A5" s="220"/>
      <c r="B5" s="221"/>
      <c r="C5" s="221"/>
      <c r="D5" s="221"/>
      <c r="E5" s="221"/>
      <c r="F5" s="221"/>
      <c r="G5" s="221"/>
      <c r="H5" s="222"/>
    </row>
    <row r="6" spans="1:8" ht="18" customHeight="1" x14ac:dyDescent="0.25">
      <c r="A6" s="220"/>
      <c r="B6" s="221"/>
      <c r="C6" s="221"/>
      <c r="D6" s="221"/>
      <c r="E6" s="221"/>
      <c r="F6" s="221"/>
      <c r="G6" s="221"/>
      <c r="H6" s="222"/>
    </row>
    <row r="7" spans="1:8" ht="18" customHeight="1" x14ac:dyDescent="0.25">
      <c r="A7" s="220"/>
      <c r="B7" s="221"/>
      <c r="C7" s="221"/>
      <c r="D7" s="221"/>
      <c r="E7" s="221"/>
      <c r="F7" s="221"/>
      <c r="G7" s="221"/>
      <c r="H7" s="222"/>
    </row>
    <row r="8" spans="1:8" ht="18" customHeight="1" x14ac:dyDescent="0.25">
      <c r="A8" s="220"/>
      <c r="B8" s="221"/>
      <c r="C8" s="221"/>
      <c r="D8" s="221"/>
      <c r="E8" s="221"/>
      <c r="F8" s="221"/>
      <c r="G8" s="221"/>
      <c r="H8" s="222"/>
    </row>
    <row r="9" spans="1:8" ht="18" customHeight="1" x14ac:dyDescent="0.25">
      <c r="A9" s="220"/>
      <c r="B9" s="221"/>
      <c r="C9" s="221"/>
      <c r="D9" s="221"/>
      <c r="E9" s="221"/>
      <c r="F9" s="221"/>
      <c r="G9" s="221"/>
      <c r="H9" s="222"/>
    </row>
    <row r="10" spans="1:8" ht="18" customHeight="1" x14ac:dyDescent="0.25">
      <c r="A10" s="220"/>
      <c r="B10" s="221"/>
      <c r="C10" s="221"/>
      <c r="D10" s="221"/>
      <c r="E10" s="221"/>
      <c r="F10" s="221"/>
      <c r="G10" s="221"/>
      <c r="H10" s="222"/>
    </row>
    <row r="11" spans="1:8" ht="18" customHeight="1" x14ac:dyDescent="0.25">
      <c r="A11" s="220"/>
      <c r="B11" s="221"/>
      <c r="C11" s="221"/>
      <c r="D11" s="221"/>
      <c r="E11" s="221"/>
      <c r="F11" s="221"/>
      <c r="G11" s="221"/>
      <c r="H11" s="222"/>
    </row>
    <row r="12" spans="1:8" ht="18" customHeight="1" x14ac:dyDescent="0.25">
      <c r="A12" s="220"/>
      <c r="B12" s="221"/>
      <c r="C12" s="221"/>
      <c r="D12" s="221"/>
      <c r="E12" s="221"/>
      <c r="F12" s="221"/>
      <c r="G12" s="221"/>
      <c r="H12" s="222"/>
    </row>
    <row r="13" spans="1:8" ht="18" customHeight="1" x14ac:dyDescent="0.25">
      <c r="A13" s="220"/>
      <c r="B13" s="221"/>
      <c r="C13" s="221"/>
      <c r="D13" s="221"/>
      <c r="E13" s="221"/>
      <c r="F13" s="221"/>
      <c r="G13" s="221"/>
      <c r="H13" s="222"/>
    </row>
    <row r="14" spans="1:8" ht="18" customHeight="1" thickBot="1" x14ac:dyDescent="0.3">
      <c r="A14" s="231"/>
      <c r="B14" s="232"/>
      <c r="C14" s="232"/>
      <c r="D14" s="232"/>
      <c r="E14" s="232"/>
      <c r="F14" s="232"/>
      <c r="G14" s="232"/>
      <c r="H14" s="233"/>
    </row>
    <row r="15" spans="1:8" ht="24" customHeight="1" x14ac:dyDescent="0.25">
      <c r="A15" s="234" t="s">
        <v>4</v>
      </c>
      <c r="B15" s="235"/>
      <c r="C15" s="235"/>
      <c r="D15" s="235"/>
      <c r="E15" s="235"/>
      <c r="F15" s="235"/>
      <c r="G15" s="235"/>
      <c r="H15" s="236"/>
    </row>
    <row r="16" spans="1:8" ht="18" customHeight="1" x14ac:dyDescent="0.25">
      <c r="A16" s="237" t="s">
        <v>5</v>
      </c>
      <c r="B16" s="238"/>
      <c r="C16" s="238"/>
      <c r="D16" s="238"/>
      <c r="E16" s="238"/>
      <c r="F16" s="238"/>
      <c r="G16" s="238"/>
      <c r="H16" s="239"/>
    </row>
    <row r="17" spans="1:8" ht="96" customHeight="1" x14ac:dyDescent="0.25">
      <c r="A17" s="240"/>
      <c r="B17" s="241"/>
      <c r="C17" s="241"/>
      <c r="D17" s="241"/>
      <c r="E17" s="241"/>
      <c r="F17" s="241"/>
      <c r="G17" s="241"/>
      <c r="H17" s="242"/>
    </row>
    <row r="18" spans="1:8" ht="18" customHeight="1" x14ac:dyDescent="0.25">
      <c r="A18" s="243" t="s">
        <v>6</v>
      </c>
      <c r="B18" s="244"/>
      <c r="C18" s="244"/>
      <c r="D18" s="244"/>
      <c r="E18" s="244"/>
      <c r="F18" s="244"/>
      <c r="G18" s="244"/>
      <c r="H18" s="245"/>
    </row>
    <row r="19" spans="1:8" ht="96" customHeight="1" x14ac:dyDescent="0.25">
      <c r="A19" s="240"/>
      <c r="B19" s="241"/>
      <c r="C19" s="241"/>
      <c r="D19" s="241"/>
      <c r="E19" s="241"/>
      <c r="F19" s="241"/>
      <c r="G19" s="241"/>
      <c r="H19" s="242"/>
    </row>
    <row r="20" spans="1:8" ht="18" customHeight="1" x14ac:dyDescent="0.25">
      <c r="A20" s="255" t="s">
        <v>7</v>
      </c>
      <c r="B20" s="256"/>
      <c r="C20" s="256"/>
      <c r="D20" s="256"/>
      <c r="E20" s="256"/>
      <c r="F20" s="256"/>
      <c r="G20" s="256"/>
      <c r="H20" s="257"/>
    </row>
    <row r="21" spans="1:8" ht="118.5" customHeight="1" thickBot="1" x14ac:dyDescent="0.3">
      <c r="A21" s="258"/>
      <c r="B21" s="259"/>
      <c r="C21" s="259"/>
      <c r="D21" s="259"/>
      <c r="E21" s="259"/>
      <c r="F21" s="259"/>
      <c r="G21" s="259"/>
      <c r="H21" s="260"/>
    </row>
    <row r="22" spans="1:8" ht="24" customHeight="1" x14ac:dyDescent="0.25">
      <c r="A22" s="208" t="s">
        <v>8</v>
      </c>
      <c r="B22" s="209"/>
      <c r="C22" s="209"/>
      <c r="D22" s="209"/>
      <c r="E22" s="209"/>
      <c r="F22" s="209"/>
      <c r="G22" s="209"/>
      <c r="H22" s="210"/>
    </row>
    <row r="23" spans="1:8" ht="18" customHeight="1" x14ac:dyDescent="0.25">
      <c r="A23" s="228" t="s">
        <v>9</v>
      </c>
      <c r="B23" s="229"/>
      <c r="C23" s="229"/>
      <c r="D23" s="229"/>
      <c r="E23" s="229"/>
      <c r="F23" s="229"/>
      <c r="G23" s="229"/>
      <c r="H23" s="230"/>
    </row>
    <row r="24" spans="1:8" ht="18" customHeight="1" x14ac:dyDescent="0.25">
      <c r="A24" s="7"/>
      <c r="B24" s="42" t="s">
        <v>10</v>
      </c>
      <c r="C24" s="42" t="s">
        <v>11</v>
      </c>
      <c r="D24" s="42" t="s">
        <v>12</v>
      </c>
      <c r="E24" s="227" t="s">
        <v>13</v>
      </c>
      <c r="F24" s="227"/>
      <c r="G24" s="227"/>
      <c r="H24" s="261"/>
    </row>
    <row r="25" spans="1:8" ht="18" customHeight="1" x14ac:dyDescent="0.25">
      <c r="A25" s="1" t="s">
        <v>40</v>
      </c>
      <c r="B25" s="8">
        <v>0</v>
      </c>
      <c r="C25" s="8">
        <v>0</v>
      </c>
      <c r="D25" s="8">
        <f t="shared" ref="D25:D30" si="0">B25-C25</f>
        <v>0</v>
      </c>
      <c r="E25" s="223"/>
      <c r="F25" s="224"/>
      <c r="G25" s="224"/>
      <c r="H25" s="225"/>
    </row>
    <row r="26" spans="1:8" ht="18" customHeight="1" x14ac:dyDescent="0.25">
      <c r="A26" s="1" t="s">
        <v>14</v>
      </c>
      <c r="B26" s="8">
        <v>0</v>
      </c>
      <c r="C26" s="8">
        <v>0</v>
      </c>
      <c r="D26" s="8">
        <f t="shared" si="0"/>
        <v>0</v>
      </c>
      <c r="E26" s="221"/>
      <c r="F26" s="221"/>
      <c r="G26" s="221"/>
      <c r="H26" s="222"/>
    </row>
    <row r="27" spans="1:8" ht="18" customHeight="1" x14ac:dyDescent="0.25">
      <c r="A27" s="1" t="s">
        <v>15</v>
      </c>
      <c r="B27" s="8">
        <v>0</v>
      </c>
      <c r="C27" s="8">
        <v>0</v>
      </c>
      <c r="D27" s="8">
        <f t="shared" si="0"/>
        <v>0</v>
      </c>
      <c r="E27" s="221"/>
      <c r="F27" s="221"/>
      <c r="G27" s="221"/>
      <c r="H27" s="222"/>
    </row>
    <row r="28" spans="1:8" ht="18" customHeight="1" x14ac:dyDescent="0.25">
      <c r="A28" s="1" t="s">
        <v>16</v>
      </c>
      <c r="B28" s="8">
        <v>0</v>
      </c>
      <c r="C28" s="8">
        <v>0</v>
      </c>
      <c r="D28" s="8">
        <f t="shared" si="0"/>
        <v>0</v>
      </c>
      <c r="E28" s="221"/>
      <c r="F28" s="221"/>
      <c r="G28" s="221"/>
      <c r="H28" s="222"/>
    </row>
    <row r="29" spans="1:8" ht="18" customHeight="1" x14ac:dyDescent="0.25">
      <c r="A29" s="1" t="s">
        <v>17</v>
      </c>
      <c r="B29" s="8">
        <v>0</v>
      </c>
      <c r="C29" s="8">
        <v>0</v>
      </c>
      <c r="D29" s="8">
        <f t="shared" si="0"/>
        <v>0</v>
      </c>
      <c r="E29" s="221"/>
      <c r="F29" s="221"/>
      <c r="G29" s="221"/>
      <c r="H29" s="222"/>
    </row>
    <row r="30" spans="1:8" ht="18" customHeight="1" x14ac:dyDescent="0.25">
      <c r="A30" s="1" t="s">
        <v>18</v>
      </c>
      <c r="B30" s="9">
        <v>0</v>
      </c>
      <c r="C30" s="9">
        <v>0</v>
      </c>
      <c r="D30" s="8">
        <f t="shared" si="0"/>
        <v>0</v>
      </c>
      <c r="E30" s="221"/>
      <c r="F30" s="221"/>
      <c r="G30" s="221"/>
      <c r="H30" s="222"/>
    </row>
    <row r="31" spans="1:8" ht="18" customHeight="1" x14ac:dyDescent="0.25">
      <c r="A31" s="228" t="s">
        <v>19</v>
      </c>
      <c r="B31" s="229"/>
      <c r="C31" s="229"/>
      <c r="D31" s="229"/>
      <c r="E31" s="229"/>
      <c r="F31" s="229"/>
      <c r="G31" s="229"/>
      <c r="H31" s="230"/>
    </row>
    <row r="32" spans="1:8" ht="18" customHeight="1" x14ac:dyDescent="0.25">
      <c r="A32" s="226" t="s">
        <v>20</v>
      </c>
      <c r="B32" s="227"/>
      <c r="C32" s="227"/>
      <c r="D32" s="227"/>
      <c r="E32" s="227" t="s">
        <v>21</v>
      </c>
      <c r="F32" s="227"/>
      <c r="G32" s="42" t="s">
        <v>22</v>
      </c>
      <c r="H32" s="43" t="s">
        <v>23</v>
      </c>
    </row>
    <row r="33" spans="1:8" ht="18" customHeight="1" x14ac:dyDescent="0.25">
      <c r="A33" s="220"/>
      <c r="B33" s="221"/>
      <c r="C33" s="221"/>
      <c r="D33" s="221"/>
      <c r="E33" s="262">
        <v>0</v>
      </c>
      <c r="F33" s="262"/>
      <c r="G33" s="2"/>
      <c r="H33" s="10"/>
    </row>
    <row r="34" spans="1:8" ht="18" customHeight="1" x14ac:dyDescent="0.25">
      <c r="A34" s="246"/>
      <c r="B34" s="224"/>
      <c r="C34" s="224"/>
      <c r="D34" s="247"/>
      <c r="E34" s="248">
        <v>0</v>
      </c>
      <c r="F34" s="249"/>
      <c r="G34" s="2"/>
      <c r="H34" s="11"/>
    </row>
    <row r="35" spans="1:8" ht="18" customHeight="1" x14ac:dyDescent="0.25">
      <c r="A35" s="246"/>
      <c r="B35" s="224"/>
      <c r="C35" s="224"/>
      <c r="D35" s="247"/>
      <c r="E35" s="248">
        <v>0</v>
      </c>
      <c r="F35" s="249"/>
      <c r="G35" s="2"/>
      <c r="H35" s="11"/>
    </row>
    <row r="36" spans="1:8" ht="18" customHeight="1" x14ac:dyDescent="0.25">
      <c r="A36" s="246"/>
      <c r="B36" s="224"/>
      <c r="C36" s="224"/>
      <c r="D36" s="247"/>
      <c r="E36" s="248">
        <v>0</v>
      </c>
      <c r="F36" s="249"/>
      <c r="G36" s="2"/>
      <c r="H36" s="11"/>
    </row>
    <row r="37" spans="1:8" ht="18" customHeight="1" thickBot="1" x14ac:dyDescent="0.3">
      <c r="A37" s="250"/>
      <c r="B37" s="251"/>
      <c r="C37" s="251"/>
      <c r="D37" s="252"/>
      <c r="E37" s="253">
        <v>0</v>
      </c>
      <c r="F37" s="254"/>
      <c r="G37" s="2"/>
      <c r="H37" s="12"/>
    </row>
    <row r="38" spans="1:8" ht="24" customHeight="1" x14ac:dyDescent="0.25">
      <c r="A38" s="208" t="s">
        <v>24</v>
      </c>
      <c r="B38" s="209"/>
      <c r="C38" s="209"/>
      <c r="D38" s="209"/>
      <c r="E38" s="209"/>
      <c r="F38" s="209"/>
      <c r="G38" s="209"/>
      <c r="H38" s="210"/>
    </row>
    <row r="39" spans="1:8" ht="18" customHeight="1" x14ac:dyDescent="0.25">
      <c r="A39" s="265" t="s">
        <v>25</v>
      </c>
      <c r="B39" s="266"/>
      <c r="C39" s="266" t="s">
        <v>26</v>
      </c>
      <c r="D39" s="266"/>
      <c r="E39" s="266"/>
      <c r="F39" s="266"/>
      <c r="G39" s="266"/>
      <c r="H39" s="267"/>
    </row>
    <row r="40" spans="1:8" ht="34.9" customHeight="1" x14ac:dyDescent="0.25">
      <c r="A40" s="263"/>
      <c r="B40" s="264"/>
      <c r="C40" s="224"/>
      <c r="D40" s="224"/>
      <c r="E40" s="224"/>
      <c r="F40" s="224"/>
      <c r="G40" s="224"/>
      <c r="H40" s="225"/>
    </row>
    <row r="41" spans="1:8" ht="34.9" customHeight="1" x14ac:dyDescent="0.25">
      <c r="A41" s="263"/>
      <c r="B41" s="264"/>
      <c r="C41" s="224"/>
      <c r="D41" s="224"/>
      <c r="E41" s="224"/>
      <c r="F41" s="224"/>
      <c r="G41" s="224"/>
      <c r="H41" s="225"/>
    </row>
    <row r="42" spans="1:8" ht="34.9" customHeight="1" x14ac:dyDescent="0.25">
      <c r="A42" s="263"/>
      <c r="B42" s="264"/>
      <c r="C42" s="224"/>
      <c r="D42" s="224"/>
      <c r="E42" s="224"/>
      <c r="F42" s="224"/>
      <c r="G42" s="224"/>
      <c r="H42" s="225"/>
    </row>
    <row r="43" spans="1:8" ht="34.9" customHeight="1" x14ac:dyDescent="0.25">
      <c r="A43" s="263"/>
      <c r="B43" s="264"/>
      <c r="C43" s="224"/>
      <c r="D43" s="224"/>
      <c r="E43" s="224"/>
      <c r="F43" s="224"/>
      <c r="G43" s="224"/>
      <c r="H43" s="225"/>
    </row>
    <row r="44" spans="1:8" ht="34.9" customHeight="1" x14ac:dyDescent="0.25">
      <c r="A44" s="268"/>
      <c r="B44" s="269"/>
      <c r="C44" s="223"/>
      <c r="D44" s="224"/>
      <c r="E44" s="224"/>
      <c r="F44" s="224"/>
      <c r="G44" s="224"/>
      <c r="H44" s="225"/>
    </row>
    <row r="45" spans="1:8" ht="34.9" customHeight="1" x14ac:dyDescent="0.25">
      <c r="A45" s="263"/>
      <c r="B45" s="264"/>
      <c r="C45" s="224"/>
      <c r="D45" s="224"/>
      <c r="E45" s="224"/>
      <c r="F45" s="224"/>
      <c r="G45" s="224"/>
      <c r="H45" s="225"/>
    </row>
    <row r="46" spans="1:8" ht="34.9" customHeight="1" x14ac:dyDescent="0.25">
      <c r="A46" s="263"/>
      <c r="B46" s="264"/>
      <c r="C46" s="224"/>
      <c r="D46" s="224"/>
      <c r="E46" s="224"/>
      <c r="F46" s="224"/>
      <c r="G46" s="224"/>
      <c r="H46" s="225"/>
    </row>
    <row r="47" spans="1:8" ht="34.9" customHeight="1" x14ac:dyDescent="0.25">
      <c r="A47" s="263"/>
      <c r="B47" s="264"/>
      <c r="C47" s="224"/>
      <c r="D47" s="224"/>
      <c r="E47" s="224"/>
      <c r="F47" s="224"/>
      <c r="G47" s="224"/>
      <c r="H47" s="225"/>
    </row>
    <row r="48" spans="1:8" ht="34.9" customHeight="1" thickBot="1" x14ac:dyDescent="0.3">
      <c r="A48" s="276"/>
      <c r="B48" s="277"/>
      <c r="C48" s="251"/>
      <c r="D48" s="251"/>
      <c r="E48" s="251"/>
      <c r="F48" s="251"/>
      <c r="G48" s="251"/>
      <c r="H48" s="278"/>
    </row>
    <row r="49" spans="1:8" ht="24" customHeight="1" thickBot="1" x14ac:dyDescent="0.3">
      <c r="A49" s="270" t="s">
        <v>27</v>
      </c>
      <c r="B49" s="271"/>
      <c r="C49" s="271"/>
      <c r="D49" s="271"/>
      <c r="E49" s="271"/>
      <c r="F49" s="271"/>
      <c r="G49" s="271"/>
      <c r="H49" s="272"/>
    </row>
    <row r="50" spans="1:8" ht="18" customHeight="1" x14ac:dyDescent="0.25">
      <c r="A50" s="273" t="s">
        <v>28</v>
      </c>
      <c r="B50" s="274"/>
      <c r="C50" s="274"/>
      <c r="D50" s="274"/>
      <c r="E50" s="274"/>
      <c r="F50" s="274"/>
      <c r="G50" s="274"/>
      <c r="H50" s="275"/>
    </row>
    <row r="51" spans="1:8" ht="18" customHeight="1" x14ac:dyDescent="0.25">
      <c r="A51" s="41" t="s">
        <v>29</v>
      </c>
      <c r="B51" s="227" t="s">
        <v>30</v>
      </c>
      <c r="C51" s="227"/>
      <c r="D51" s="227"/>
      <c r="E51" s="42" t="s">
        <v>29</v>
      </c>
      <c r="F51" s="227" t="s">
        <v>31</v>
      </c>
      <c r="G51" s="227"/>
      <c r="H51" s="261"/>
    </row>
    <row r="52" spans="1:8" ht="27.6" customHeight="1" x14ac:dyDescent="0.25">
      <c r="A52" s="1"/>
      <c r="B52" s="241"/>
      <c r="C52" s="241"/>
      <c r="D52" s="241"/>
      <c r="E52" s="2"/>
      <c r="F52" s="241"/>
      <c r="G52" s="241"/>
      <c r="H52" s="242"/>
    </row>
    <row r="53" spans="1:8" ht="27.6" customHeight="1" x14ac:dyDescent="0.25">
      <c r="A53" s="1"/>
      <c r="B53" s="241"/>
      <c r="C53" s="241"/>
      <c r="D53" s="241"/>
      <c r="E53" s="2"/>
      <c r="F53" s="241"/>
      <c r="G53" s="241"/>
      <c r="H53" s="242"/>
    </row>
    <row r="54" spans="1:8" ht="27.6" customHeight="1" x14ac:dyDescent="0.25">
      <c r="A54" s="1"/>
      <c r="B54" s="241"/>
      <c r="C54" s="241"/>
      <c r="D54" s="241"/>
      <c r="E54" s="2"/>
      <c r="F54" s="241"/>
      <c r="G54" s="241"/>
      <c r="H54" s="242"/>
    </row>
    <row r="55" spans="1:8" ht="27.6" customHeight="1" x14ac:dyDescent="0.25">
      <c r="A55" s="1"/>
      <c r="B55" s="241"/>
      <c r="C55" s="241"/>
      <c r="D55" s="241"/>
      <c r="E55" s="2"/>
      <c r="F55" s="241"/>
      <c r="G55" s="241"/>
      <c r="H55" s="242"/>
    </row>
    <row r="56" spans="1:8" ht="27.6" customHeight="1" x14ac:dyDescent="0.25">
      <c r="A56" s="1"/>
      <c r="B56" s="241"/>
      <c r="C56" s="241"/>
      <c r="D56" s="241"/>
      <c r="E56" s="2"/>
      <c r="F56" s="241"/>
      <c r="G56" s="241"/>
      <c r="H56" s="242"/>
    </row>
    <row r="57" spans="1:8" ht="27.6" customHeight="1" x14ac:dyDescent="0.25">
      <c r="A57" s="1"/>
      <c r="B57" s="241"/>
      <c r="C57" s="241"/>
      <c r="D57" s="241"/>
      <c r="E57" s="2"/>
      <c r="F57" s="241"/>
      <c r="G57" s="241"/>
      <c r="H57" s="242"/>
    </row>
    <row r="58" spans="1:8" ht="27.6" customHeight="1" x14ac:dyDescent="0.25">
      <c r="A58" s="1"/>
      <c r="B58" s="241"/>
      <c r="C58" s="241"/>
      <c r="D58" s="241"/>
      <c r="E58" s="2"/>
      <c r="F58" s="241"/>
      <c r="G58" s="241"/>
      <c r="H58" s="242"/>
    </row>
    <row r="59" spans="1:8" ht="27.6" customHeight="1" x14ac:dyDescent="0.25">
      <c r="A59" s="1"/>
      <c r="B59" s="241"/>
      <c r="C59" s="241"/>
      <c r="D59" s="241"/>
      <c r="E59" s="2"/>
      <c r="F59" s="241"/>
      <c r="G59" s="241"/>
      <c r="H59" s="242"/>
    </row>
    <row r="60" spans="1:8" ht="27.6" customHeight="1" x14ac:dyDescent="0.25">
      <c r="A60" s="1"/>
      <c r="B60" s="241"/>
      <c r="C60" s="241"/>
      <c r="D60" s="241"/>
      <c r="E60" s="2"/>
      <c r="F60" s="241"/>
      <c r="G60" s="241"/>
      <c r="H60" s="242"/>
    </row>
    <row r="61" spans="1:8" ht="27.6" customHeight="1" thickBot="1" x14ac:dyDescent="0.3">
      <c r="A61" s="4"/>
      <c r="B61" s="282"/>
      <c r="C61" s="282"/>
      <c r="D61" s="282"/>
      <c r="E61" s="5"/>
      <c r="F61" s="282"/>
      <c r="G61" s="282"/>
      <c r="H61" s="283"/>
    </row>
    <row r="62" spans="1:8" ht="18" customHeight="1" x14ac:dyDescent="0.25">
      <c r="A62" s="279" t="s">
        <v>32</v>
      </c>
      <c r="B62" s="280"/>
      <c r="C62" s="280"/>
      <c r="D62" s="280"/>
      <c r="E62" s="280"/>
      <c r="F62" s="280"/>
      <c r="G62" s="280"/>
      <c r="H62" s="281"/>
    </row>
    <row r="63" spans="1:8" ht="18" customHeight="1" x14ac:dyDescent="0.25">
      <c r="A63" s="41" t="s">
        <v>29</v>
      </c>
      <c r="B63" s="227" t="s">
        <v>33</v>
      </c>
      <c r="C63" s="227"/>
      <c r="D63" s="227"/>
      <c r="E63" s="42" t="s">
        <v>29</v>
      </c>
      <c r="F63" s="227" t="s">
        <v>34</v>
      </c>
      <c r="G63" s="227"/>
      <c r="H63" s="261"/>
    </row>
    <row r="64" spans="1:8" ht="27.6" customHeight="1" x14ac:dyDescent="0.25">
      <c r="A64" s="1"/>
      <c r="B64" s="241"/>
      <c r="C64" s="241"/>
      <c r="D64" s="241"/>
      <c r="E64" s="2"/>
      <c r="F64" s="241"/>
      <c r="G64" s="241"/>
      <c r="H64" s="242"/>
    </row>
    <row r="65" spans="1:8" ht="27.6" customHeight="1" x14ac:dyDescent="0.25">
      <c r="A65" s="1"/>
      <c r="B65" s="241"/>
      <c r="C65" s="241"/>
      <c r="D65" s="241"/>
      <c r="E65" s="2"/>
      <c r="F65" s="241"/>
      <c r="G65" s="241"/>
      <c r="H65" s="242"/>
    </row>
    <row r="66" spans="1:8" ht="27.6" customHeight="1" x14ac:dyDescent="0.25">
      <c r="A66" s="1"/>
      <c r="B66" s="241"/>
      <c r="C66" s="241"/>
      <c r="D66" s="241"/>
      <c r="E66" s="2"/>
      <c r="F66" s="241"/>
      <c r="G66" s="241"/>
      <c r="H66" s="242"/>
    </row>
    <row r="67" spans="1:8" ht="27.6" customHeight="1" x14ac:dyDescent="0.25">
      <c r="A67" s="1"/>
      <c r="B67" s="241"/>
      <c r="C67" s="241"/>
      <c r="D67" s="241"/>
      <c r="E67" s="2"/>
      <c r="F67" s="241"/>
      <c r="G67" s="241"/>
      <c r="H67" s="242"/>
    </row>
    <row r="68" spans="1:8" ht="27.6" customHeight="1" x14ac:dyDescent="0.25">
      <c r="A68" s="1"/>
      <c r="B68" s="241"/>
      <c r="C68" s="241"/>
      <c r="D68" s="241"/>
      <c r="E68" s="2"/>
      <c r="F68" s="241"/>
      <c r="G68" s="241"/>
      <c r="H68" s="242"/>
    </row>
    <row r="69" spans="1:8" ht="27.6" customHeight="1" x14ac:dyDescent="0.25">
      <c r="A69" s="1"/>
      <c r="B69" s="241"/>
      <c r="C69" s="241"/>
      <c r="D69" s="241"/>
      <c r="E69" s="2"/>
      <c r="F69" s="241"/>
      <c r="G69" s="241"/>
      <c r="H69" s="242"/>
    </row>
    <row r="70" spans="1:8" ht="27.6" customHeight="1" x14ac:dyDescent="0.25">
      <c r="A70" s="1"/>
      <c r="B70" s="241"/>
      <c r="C70" s="241"/>
      <c r="D70" s="241"/>
      <c r="E70" s="2"/>
      <c r="F70" s="241"/>
      <c r="G70" s="241"/>
      <c r="H70" s="242"/>
    </row>
    <row r="71" spans="1:8" ht="27.6" customHeight="1" x14ac:dyDescent="0.25">
      <c r="A71" s="1"/>
      <c r="B71" s="241"/>
      <c r="C71" s="241"/>
      <c r="D71" s="241"/>
      <c r="E71" s="2"/>
      <c r="F71" s="241"/>
      <c r="G71" s="241"/>
      <c r="H71" s="242"/>
    </row>
    <row r="72" spans="1:8" ht="27.6" customHeight="1" x14ac:dyDescent="0.25">
      <c r="A72" s="1"/>
      <c r="B72" s="241"/>
      <c r="C72" s="241"/>
      <c r="D72" s="241"/>
      <c r="E72" s="2"/>
      <c r="F72" s="241"/>
      <c r="G72" s="241"/>
      <c r="H72" s="242"/>
    </row>
    <row r="73" spans="1:8" ht="27.6" customHeight="1" thickBot="1" x14ac:dyDescent="0.3">
      <c r="A73" s="4"/>
      <c r="B73" s="282"/>
      <c r="C73" s="282"/>
      <c r="D73" s="282"/>
      <c r="E73" s="5"/>
      <c r="F73" s="282"/>
      <c r="G73" s="282"/>
      <c r="H73" s="283"/>
    </row>
    <row r="74" spans="1:8" ht="24" customHeight="1" x14ac:dyDescent="0.25">
      <c r="A74" s="208" t="s">
        <v>35</v>
      </c>
      <c r="B74" s="209"/>
      <c r="C74" s="209"/>
      <c r="D74" s="209"/>
      <c r="E74" s="209"/>
      <c r="F74" s="209"/>
      <c r="G74" s="209"/>
      <c r="H74" s="210"/>
    </row>
    <row r="75" spans="1:8" ht="18" customHeight="1" x14ac:dyDescent="0.25">
      <c r="A75" s="265" t="s">
        <v>36</v>
      </c>
      <c r="B75" s="266"/>
      <c r="C75" s="287" t="s">
        <v>37</v>
      </c>
      <c r="D75" s="229"/>
      <c r="E75" s="229"/>
      <c r="F75" s="229"/>
      <c r="G75" s="229"/>
      <c r="H75" s="230"/>
    </row>
    <row r="76" spans="1:8" ht="28.15" customHeight="1" x14ac:dyDescent="0.25">
      <c r="A76" s="263"/>
      <c r="B76" s="264"/>
      <c r="C76" s="284"/>
      <c r="D76" s="285"/>
      <c r="E76" s="285"/>
      <c r="F76" s="285"/>
      <c r="G76" s="285"/>
      <c r="H76" s="286"/>
    </row>
    <row r="77" spans="1:8" ht="28.15" customHeight="1" x14ac:dyDescent="0.25">
      <c r="A77" s="268"/>
      <c r="B77" s="269"/>
      <c r="C77" s="284"/>
      <c r="D77" s="285"/>
      <c r="E77" s="285"/>
      <c r="F77" s="285"/>
      <c r="G77" s="285"/>
      <c r="H77" s="286"/>
    </row>
    <row r="78" spans="1:8" ht="28.15" customHeight="1" x14ac:dyDescent="0.25">
      <c r="A78" s="263"/>
      <c r="B78" s="264"/>
      <c r="C78" s="284"/>
      <c r="D78" s="285"/>
      <c r="E78" s="285"/>
      <c r="F78" s="285"/>
      <c r="G78" s="285"/>
      <c r="H78" s="286"/>
    </row>
    <row r="79" spans="1:8" ht="28.15" customHeight="1" x14ac:dyDescent="0.25">
      <c r="A79" s="263"/>
      <c r="B79" s="264"/>
      <c r="C79" s="284"/>
      <c r="D79" s="285"/>
      <c r="E79" s="285"/>
      <c r="F79" s="285"/>
      <c r="G79" s="285"/>
      <c r="H79" s="286"/>
    </row>
    <row r="80" spans="1:8" ht="28.15" customHeight="1" x14ac:dyDescent="0.25">
      <c r="A80" s="263"/>
      <c r="B80" s="264"/>
      <c r="C80" s="284"/>
      <c r="D80" s="285"/>
      <c r="E80" s="285"/>
      <c r="F80" s="285"/>
      <c r="G80" s="285"/>
      <c r="H80" s="286"/>
    </row>
    <row r="81" spans="1:8" ht="28.15" customHeight="1" x14ac:dyDescent="0.25">
      <c r="A81" s="263"/>
      <c r="B81" s="264"/>
      <c r="C81" s="284"/>
      <c r="D81" s="285"/>
      <c r="E81" s="285"/>
      <c r="F81" s="285"/>
      <c r="G81" s="285"/>
      <c r="H81" s="286"/>
    </row>
    <row r="82" spans="1:8" ht="28.15" customHeight="1" x14ac:dyDescent="0.25">
      <c r="A82" s="263"/>
      <c r="B82" s="264"/>
      <c r="C82" s="284"/>
      <c r="D82" s="285"/>
      <c r="E82" s="285"/>
      <c r="F82" s="285"/>
      <c r="G82" s="285"/>
      <c r="H82" s="286"/>
    </row>
    <row r="83" spans="1:8" ht="28.15" customHeight="1" x14ac:dyDescent="0.25">
      <c r="A83" s="263"/>
      <c r="B83" s="264"/>
      <c r="C83" s="284"/>
      <c r="D83" s="285"/>
      <c r="E83" s="285"/>
      <c r="F83" s="285"/>
      <c r="G83" s="285"/>
      <c r="H83" s="286"/>
    </row>
    <row r="84" spans="1:8" ht="28.15" customHeight="1" x14ac:dyDescent="0.25">
      <c r="A84" s="263"/>
      <c r="B84" s="264"/>
      <c r="C84" s="284"/>
      <c r="D84" s="285"/>
      <c r="E84" s="285"/>
      <c r="F84" s="285"/>
      <c r="G84" s="285"/>
      <c r="H84" s="286"/>
    </row>
    <row r="85" spans="1:8" ht="28.15" customHeight="1" x14ac:dyDescent="0.25">
      <c r="A85" s="263"/>
      <c r="B85" s="264"/>
      <c r="C85" s="284"/>
      <c r="D85" s="285"/>
      <c r="E85" s="285"/>
      <c r="F85" s="285"/>
      <c r="G85" s="285"/>
      <c r="H85" s="286"/>
    </row>
    <row r="86" spans="1:8" ht="28.15" customHeight="1" x14ac:dyDescent="0.25">
      <c r="A86" s="263"/>
      <c r="B86" s="264"/>
      <c r="C86" s="284"/>
      <c r="D86" s="285"/>
      <c r="E86" s="285"/>
      <c r="F86" s="285"/>
      <c r="G86" s="285"/>
      <c r="H86" s="286"/>
    </row>
    <row r="87" spans="1:8" ht="28.15" customHeight="1" thickBot="1" x14ac:dyDescent="0.3">
      <c r="A87" s="276"/>
      <c r="B87" s="277"/>
      <c r="C87" s="288"/>
      <c r="D87" s="259"/>
      <c r="E87" s="259"/>
      <c r="F87" s="259"/>
      <c r="G87" s="259"/>
      <c r="H87" s="260"/>
    </row>
    <row r="88" spans="1:8" ht="24" customHeight="1" x14ac:dyDescent="0.25">
      <c r="A88" s="208" t="s">
        <v>38</v>
      </c>
      <c r="B88" s="209"/>
      <c r="C88" s="209"/>
      <c r="D88" s="209"/>
      <c r="E88" s="209"/>
      <c r="F88" s="209"/>
      <c r="G88" s="209"/>
      <c r="H88" s="210"/>
    </row>
    <row r="89" spans="1:8" ht="18" customHeight="1" x14ac:dyDescent="0.25">
      <c r="A89" s="265" t="s">
        <v>39</v>
      </c>
      <c r="B89" s="266"/>
      <c r="C89" s="266"/>
      <c r="D89" s="266"/>
      <c r="E89" s="266"/>
      <c r="F89" s="56" t="s">
        <v>40</v>
      </c>
      <c r="G89" s="56" t="s">
        <v>41</v>
      </c>
      <c r="H89" s="57" t="s">
        <v>42</v>
      </c>
    </row>
    <row r="90" spans="1:8" ht="18" customHeight="1" x14ac:dyDescent="0.25">
      <c r="A90" s="220"/>
      <c r="B90" s="221"/>
      <c r="C90" s="221"/>
      <c r="D90" s="221"/>
      <c r="E90" s="221"/>
      <c r="F90" s="2"/>
      <c r="G90" s="2"/>
      <c r="H90" s="3"/>
    </row>
    <row r="91" spans="1:8" ht="18" customHeight="1" x14ac:dyDescent="0.25">
      <c r="A91" s="220"/>
      <c r="B91" s="221"/>
      <c r="C91" s="221"/>
      <c r="D91" s="221"/>
      <c r="E91" s="221"/>
      <c r="F91" s="2"/>
      <c r="G91" s="2"/>
      <c r="H91" s="3"/>
    </row>
    <row r="92" spans="1:8" ht="18" customHeight="1" x14ac:dyDescent="0.25">
      <c r="A92" s="220"/>
      <c r="B92" s="221"/>
      <c r="C92" s="221"/>
      <c r="D92" s="221"/>
      <c r="E92" s="221"/>
      <c r="F92" s="2"/>
      <c r="G92" s="2"/>
      <c r="H92" s="3"/>
    </row>
    <row r="93" spans="1:8" ht="18" customHeight="1" x14ac:dyDescent="0.25">
      <c r="A93" s="246"/>
      <c r="B93" s="224"/>
      <c r="C93" s="224"/>
      <c r="D93" s="224"/>
      <c r="E93" s="247"/>
      <c r="F93" s="2"/>
      <c r="G93" s="2"/>
      <c r="H93" s="3"/>
    </row>
    <row r="94" spans="1:8" ht="18" customHeight="1" x14ac:dyDescent="0.25">
      <c r="A94" s="220"/>
      <c r="B94" s="221"/>
      <c r="C94" s="221"/>
      <c r="D94" s="221"/>
      <c r="E94" s="221"/>
      <c r="F94" s="2"/>
      <c r="G94" s="2"/>
      <c r="H94" s="3"/>
    </row>
    <row r="95" spans="1:8" ht="18" customHeight="1" x14ac:dyDescent="0.25">
      <c r="A95" s="220"/>
      <c r="B95" s="221"/>
      <c r="C95" s="221"/>
      <c r="D95" s="221"/>
      <c r="E95" s="221"/>
      <c r="F95" s="2"/>
      <c r="G95" s="2"/>
      <c r="H95" s="3"/>
    </row>
    <row r="96" spans="1:8" ht="18" customHeight="1" x14ac:dyDescent="0.25">
      <c r="A96" s="220"/>
      <c r="B96" s="221"/>
      <c r="C96" s="221"/>
      <c r="D96" s="221"/>
      <c r="E96" s="221"/>
      <c r="F96" s="2"/>
      <c r="G96" s="2"/>
      <c r="H96" s="3"/>
    </row>
    <row r="97" spans="1:8" ht="18" customHeight="1" x14ac:dyDescent="0.25">
      <c r="A97" s="246"/>
      <c r="B97" s="224"/>
      <c r="C97" s="224"/>
      <c r="D97" s="224"/>
      <c r="E97" s="247"/>
      <c r="F97" s="2"/>
      <c r="G97" s="2"/>
      <c r="H97" s="3"/>
    </row>
    <row r="98" spans="1:8" ht="18" customHeight="1" x14ac:dyDescent="0.25">
      <c r="A98" s="220"/>
      <c r="B98" s="221"/>
      <c r="C98" s="221"/>
      <c r="D98" s="221"/>
      <c r="E98" s="221"/>
      <c r="F98" s="2"/>
      <c r="G98" s="2"/>
      <c r="H98" s="3"/>
    </row>
    <row r="99" spans="1:8" ht="18" customHeight="1" x14ac:dyDescent="0.25">
      <c r="A99" s="220"/>
      <c r="B99" s="221"/>
      <c r="C99" s="221"/>
      <c r="D99" s="221"/>
      <c r="E99" s="221"/>
      <c r="F99" s="2"/>
      <c r="G99" s="2"/>
      <c r="H99" s="3"/>
    </row>
    <row r="100" spans="1:8" ht="18" customHeight="1" x14ac:dyDescent="0.25">
      <c r="A100" s="220"/>
      <c r="B100" s="221"/>
      <c r="C100" s="221"/>
      <c r="D100" s="221"/>
      <c r="E100" s="221"/>
      <c r="F100" s="2"/>
      <c r="G100" s="2"/>
      <c r="H100" s="3"/>
    </row>
    <row r="101" spans="1:8" ht="18" customHeight="1" x14ac:dyDescent="0.25">
      <c r="A101" s="220"/>
      <c r="B101" s="221"/>
      <c r="C101" s="221"/>
      <c r="D101" s="221"/>
      <c r="E101" s="221"/>
      <c r="F101" s="2"/>
      <c r="G101" s="2"/>
      <c r="H101" s="3"/>
    </row>
    <row r="102" spans="1:8" ht="18" customHeight="1" thickBot="1" x14ac:dyDescent="0.3">
      <c r="A102" s="231"/>
      <c r="B102" s="232"/>
      <c r="C102" s="232"/>
      <c r="D102" s="232"/>
      <c r="E102" s="232"/>
      <c r="F102" s="5"/>
      <c r="G102" s="5"/>
      <c r="H102" s="6"/>
    </row>
    <row r="103" spans="1:8" ht="24" customHeight="1" x14ac:dyDescent="0.25">
      <c r="A103" s="289" t="s">
        <v>43</v>
      </c>
      <c r="B103" s="290"/>
      <c r="C103" s="290"/>
      <c r="D103" s="290"/>
      <c r="E103" s="290"/>
      <c r="F103" s="290"/>
      <c r="G103" s="290"/>
      <c r="H103" s="291"/>
    </row>
    <row r="104" spans="1:8" ht="18" customHeight="1" x14ac:dyDescent="0.25">
      <c r="A104" s="58" t="s">
        <v>29</v>
      </c>
      <c r="B104" s="59" t="s">
        <v>44</v>
      </c>
      <c r="C104" s="292" t="s">
        <v>45</v>
      </c>
      <c r="D104" s="292"/>
      <c r="E104" s="292"/>
      <c r="F104" s="292"/>
      <c r="G104" s="292" t="s">
        <v>46</v>
      </c>
      <c r="H104" s="293"/>
    </row>
    <row r="105" spans="1:8" ht="31.5" customHeight="1" x14ac:dyDescent="0.25">
      <c r="A105" s="1">
        <v>1</v>
      </c>
      <c r="B105" s="29"/>
      <c r="C105" s="241"/>
      <c r="D105" s="241"/>
      <c r="E105" s="241"/>
      <c r="F105" s="241"/>
      <c r="G105" s="241"/>
      <c r="H105" s="242"/>
    </row>
    <row r="106" spans="1:8" ht="31.5" customHeight="1" x14ac:dyDescent="0.25">
      <c r="A106" s="1">
        <v>2</v>
      </c>
      <c r="B106" s="29"/>
      <c r="C106" s="241"/>
      <c r="D106" s="241"/>
      <c r="E106" s="241"/>
      <c r="F106" s="241"/>
      <c r="G106" s="241"/>
      <c r="H106" s="242"/>
    </row>
    <row r="107" spans="1:8" ht="31.5" customHeight="1" x14ac:dyDescent="0.25">
      <c r="A107" s="1">
        <v>3</v>
      </c>
      <c r="B107" s="29"/>
      <c r="C107" s="241"/>
      <c r="D107" s="241"/>
      <c r="E107" s="241"/>
      <c r="F107" s="241"/>
      <c r="G107" s="241"/>
      <c r="H107" s="242"/>
    </row>
    <row r="108" spans="1:8" ht="31.5" customHeight="1" x14ac:dyDescent="0.25">
      <c r="A108" s="1">
        <v>4</v>
      </c>
      <c r="B108" s="29"/>
      <c r="C108" s="241"/>
      <c r="D108" s="241"/>
      <c r="E108" s="241"/>
      <c r="F108" s="241"/>
      <c r="G108" s="241"/>
      <c r="H108" s="242"/>
    </row>
    <row r="109" spans="1:8" ht="31.5" customHeight="1" x14ac:dyDescent="0.25">
      <c r="A109" s="1">
        <v>5</v>
      </c>
      <c r="B109" s="29"/>
      <c r="C109" s="241"/>
      <c r="D109" s="241"/>
      <c r="E109" s="241"/>
      <c r="F109" s="241"/>
      <c r="G109" s="241"/>
      <c r="H109" s="242"/>
    </row>
    <row r="110" spans="1:8" ht="31.5" customHeight="1" x14ac:dyDescent="0.25">
      <c r="A110" s="1">
        <v>6</v>
      </c>
      <c r="B110" s="29"/>
      <c r="C110" s="241"/>
      <c r="D110" s="241"/>
      <c r="E110" s="241"/>
      <c r="F110" s="241"/>
      <c r="G110" s="241"/>
      <c r="H110" s="242"/>
    </row>
    <row r="111" spans="1:8" ht="31.5" customHeight="1" x14ac:dyDescent="0.25">
      <c r="A111" s="1">
        <v>7</v>
      </c>
      <c r="B111" s="29"/>
      <c r="C111" s="241"/>
      <c r="D111" s="241"/>
      <c r="E111" s="241"/>
      <c r="F111" s="241"/>
      <c r="G111" s="241"/>
      <c r="H111" s="242"/>
    </row>
    <row r="112" spans="1:8" ht="31.5" customHeight="1" x14ac:dyDescent="0.25">
      <c r="A112" s="1">
        <v>8</v>
      </c>
      <c r="B112" s="29"/>
      <c r="C112" s="241"/>
      <c r="D112" s="241"/>
      <c r="E112" s="241"/>
      <c r="F112" s="241"/>
      <c r="G112" s="241"/>
      <c r="H112" s="242"/>
    </row>
    <row r="113" spans="1:8" ht="31.5" customHeight="1" x14ac:dyDescent="0.25">
      <c r="A113" s="1">
        <v>9</v>
      </c>
      <c r="B113" s="29"/>
      <c r="C113" s="241"/>
      <c r="D113" s="241"/>
      <c r="E113" s="241"/>
      <c r="F113" s="241"/>
      <c r="G113" s="241"/>
      <c r="H113" s="242"/>
    </row>
    <row r="114" spans="1:8" ht="31.5" customHeight="1" x14ac:dyDescent="0.25">
      <c r="A114" s="1">
        <v>10</v>
      </c>
      <c r="B114" s="29"/>
      <c r="C114" s="241"/>
      <c r="D114" s="241"/>
      <c r="E114" s="241"/>
      <c r="F114" s="241"/>
      <c r="G114" s="241"/>
      <c r="H114" s="242"/>
    </row>
    <row r="115" spans="1:8" ht="31.5" customHeight="1" x14ac:dyDescent="0.25">
      <c r="A115" s="1">
        <v>11</v>
      </c>
      <c r="B115" s="29"/>
      <c r="C115" s="241"/>
      <c r="D115" s="241"/>
      <c r="E115" s="241"/>
      <c r="F115" s="241"/>
      <c r="G115" s="241"/>
      <c r="H115" s="242"/>
    </row>
    <row r="116" spans="1:8" ht="31.5" customHeight="1" x14ac:dyDescent="0.25">
      <c r="A116" s="1">
        <v>12</v>
      </c>
      <c r="B116" s="29"/>
      <c r="C116" s="241"/>
      <c r="D116" s="241"/>
      <c r="E116" s="241"/>
      <c r="F116" s="241"/>
      <c r="G116" s="241"/>
      <c r="H116" s="242"/>
    </row>
    <row r="117" spans="1:8" ht="31.5" customHeight="1" x14ac:dyDescent="0.25">
      <c r="A117" s="1">
        <v>13</v>
      </c>
      <c r="B117" s="29"/>
      <c r="C117" s="241"/>
      <c r="D117" s="241"/>
      <c r="E117" s="241"/>
      <c r="F117" s="241"/>
      <c r="G117" s="241"/>
      <c r="H117" s="242"/>
    </row>
    <row r="118" spans="1:8" ht="31.5" customHeight="1" x14ac:dyDescent="0.25">
      <c r="A118" s="1">
        <v>14</v>
      </c>
      <c r="B118" s="29"/>
      <c r="C118" s="241"/>
      <c r="D118" s="241"/>
      <c r="E118" s="241"/>
      <c r="F118" s="241"/>
      <c r="G118" s="241"/>
      <c r="H118" s="242"/>
    </row>
    <row r="119" spans="1:8" ht="31.5" customHeight="1" x14ac:dyDescent="0.25">
      <c r="A119" s="1">
        <v>15</v>
      </c>
      <c r="B119" s="29"/>
      <c r="C119" s="241"/>
      <c r="D119" s="241"/>
      <c r="E119" s="241"/>
      <c r="F119" s="241"/>
      <c r="G119" s="241"/>
      <c r="H119" s="242"/>
    </row>
    <row r="120" spans="1:8" ht="31.5" customHeight="1" thickBot="1" x14ac:dyDescent="0.3">
      <c r="A120" s="4">
        <v>16</v>
      </c>
      <c r="B120" s="30"/>
      <c r="C120" s="282"/>
      <c r="D120" s="282"/>
      <c r="E120" s="282"/>
      <c r="F120" s="282"/>
      <c r="G120" s="282"/>
      <c r="H120" s="283"/>
    </row>
    <row r="121" spans="1:8" ht="24" customHeight="1" x14ac:dyDescent="0.25">
      <c r="A121" s="234" t="s">
        <v>47</v>
      </c>
      <c r="B121" s="235"/>
      <c r="C121" s="235"/>
      <c r="D121" s="235"/>
      <c r="E121" s="235"/>
      <c r="F121" s="235"/>
      <c r="G121" s="235"/>
      <c r="H121" s="236"/>
    </row>
    <row r="122" spans="1:8" ht="18" customHeight="1" x14ac:dyDescent="0.25">
      <c r="A122" s="240"/>
      <c r="B122" s="241"/>
      <c r="C122" s="241"/>
      <c r="D122" s="241"/>
      <c r="E122" s="241"/>
      <c r="F122" s="241"/>
      <c r="G122" s="241"/>
      <c r="H122" s="242"/>
    </row>
    <row r="123" spans="1:8" ht="18" customHeight="1" x14ac:dyDescent="0.25">
      <c r="A123" s="240"/>
      <c r="B123" s="241"/>
      <c r="C123" s="241"/>
      <c r="D123" s="241"/>
      <c r="E123" s="241"/>
      <c r="F123" s="241"/>
      <c r="G123" s="241"/>
      <c r="H123" s="242"/>
    </row>
    <row r="124" spans="1:8" ht="18" customHeight="1" x14ac:dyDescent="0.25">
      <c r="A124" s="240"/>
      <c r="B124" s="241"/>
      <c r="C124" s="241"/>
      <c r="D124" s="241"/>
      <c r="E124" s="241"/>
      <c r="F124" s="241"/>
      <c r="G124" s="241"/>
      <c r="H124" s="242"/>
    </row>
    <row r="125" spans="1:8" ht="18" customHeight="1" x14ac:dyDescent="0.25">
      <c r="A125" s="240"/>
      <c r="B125" s="241"/>
      <c r="C125" s="241"/>
      <c r="D125" s="241"/>
      <c r="E125" s="241"/>
      <c r="F125" s="241"/>
      <c r="G125" s="241"/>
      <c r="H125" s="242"/>
    </row>
    <row r="126" spans="1:8" ht="18" customHeight="1" thickBot="1" x14ac:dyDescent="0.3">
      <c r="A126" s="294"/>
      <c r="B126" s="282"/>
      <c r="C126" s="282"/>
      <c r="D126" s="282"/>
      <c r="E126" s="282"/>
      <c r="F126" s="282"/>
      <c r="G126" s="282"/>
      <c r="H126" s="283"/>
    </row>
  </sheetData>
  <mergeCells count="202">
    <mergeCell ref="C114:F114"/>
    <mergeCell ref="G114:H114"/>
    <mergeCell ref="C115:F115"/>
    <mergeCell ref="G115:H115"/>
    <mergeCell ref="C116:F116"/>
    <mergeCell ref="G116:H116"/>
    <mergeCell ref="C111:F111"/>
    <mergeCell ref="G111:H111"/>
    <mergeCell ref="C112:F112"/>
    <mergeCell ref="G112:H112"/>
    <mergeCell ref="C113:F113"/>
    <mergeCell ref="G113:H113"/>
    <mergeCell ref="C120:F120"/>
    <mergeCell ref="G120:H120"/>
    <mergeCell ref="A121:H121"/>
    <mergeCell ref="A122:H126"/>
    <mergeCell ref="C117:F117"/>
    <mergeCell ref="G117:H117"/>
    <mergeCell ref="C118:F118"/>
    <mergeCell ref="G118:H118"/>
    <mergeCell ref="C119:F119"/>
    <mergeCell ref="G119:H119"/>
    <mergeCell ref="C108:F108"/>
    <mergeCell ref="G108:H108"/>
    <mergeCell ref="C109:F109"/>
    <mergeCell ref="G109:H109"/>
    <mergeCell ref="C110:F110"/>
    <mergeCell ref="G110:H110"/>
    <mergeCell ref="C105:F105"/>
    <mergeCell ref="G105:H105"/>
    <mergeCell ref="C106:F106"/>
    <mergeCell ref="G106:H106"/>
    <mergeCell ref="C107:F107"/>
    <mergeCell ref="G107:H107"/>
    <mergeCell ref="A100:E100"/>
    <mergeCell ref="A101:E101"/>
    <mergeCell ref="A102:E102"/>
    <mergeCell ref="A103:H103"/>
    <mergeCell ref="C104:F104"/>
    <mergeCell ref="G104:H104"/>
    <mergeCell ref="A90:E90"/>
    <mergeCell ref="A91:E91"/>
    <mergeCell ref="A92:E92"/>
    <mergeCell ref="A93:E93"/>
    <mergeCell ref="A94:E94"/>
    <mergeCell ref="A99:E99"/>
    <mergeCell ref="A98:E98"/>
    <mergeCell ref="A86:B86"/>
    <mergeCell ref="C86:H86"/>
    <mergeCell ref="A87:B87"/>
    <mergeCell ref="C87:H87"/>
    <mergeCell ref="A88:H88"/>
    <mergeCell ref="A89:E89"/>
    <mergeCell ref="A95:E95"/>
    <mergeCell ref="A96:E96"/>
    <mergeCell ref="A97:E97"/>
    <mergeCell ref="A82:B82"/>
    <mergeCell ref="C82:H82"/>
    <mergeCell ref="A85:B85"/>
    <mergeCell ref="C85:H85"/>
    <mergeCell ref="A83:B83"/>
    <mergeCell ref="C83:H83"/>
    <mergeCell ref="A84:B84"/>
    <mergeCell ref="C84:H84"/>
    <mergeCell ref="A79:B79"/>
    <mergeCell ref="C79:H79"/>
    <mergeCell ref="A80:B80"/>
    <mergeCell ref="C80:H80"/>
    <mergeCell ref="A81:B81"/>
    <mergeCell ref="C81:H81"/>
    <mergeCell ref="A76:B76"/>
    <mergeCell ref="C76:H76"/>
    <mergeCell ref="A77:B77"/>
    <mergeCell ref="C77:H77"/>
    <mergeCell ref="A78:B78"/>
    <mergeCell ref="C78:H78"/>
    <mergeCell ref="B72:D72"/>
    <mergeCell ref="F72:H72"/>
    <mergeCell ref="B73:D73"/>
    <mergeCell ref="F73:H73"/>
    <mergeCell ref="A74:H74"/>
    <mergeCell ref="A75:B75"/>
    <mergeCell ref="C75:H75"/>
    <mergeCell ref="B69:D69"/>
    <mergeCell ref="F69:H69"/>
    <mergeCell ref="B70:D70"/>
    <mergeCell ref="F70:H70"/>
    <mergeCell ref="B71:D71"/>
    <mergeCell ref="F71:H71"/>
    <mergeCell ref="B66:D66"/>
    <mergeCell ref="F66:H66"/>
    <mergeCell ref="B67:D67"/>
    <mergeCell ref="F67:H67"/>
    <mergeCell ref="B68:D68"/>
    <mergeCell ref="F68:H68"/>
    <mergeCell ref="A62:H62"/>
    <mergeCell ref="B63:D63"/>
    <mergeCell ref="F63:H63"/>
    <mergeCell ref="B64:D64"/>
    <mergeCell ref="F64:H64"/>
    <mergeCell ref="B65:D65"/>
    <mergeCell ref="F65:H65"/>
    <mergeCell ref="B59:D59"/>
    <mergeCell ref="F59:H59"/>
    <mergeCell ref="B60:D60"/>
    <mergeCell ref="F60:H60"/>
    <mergeCell ref="B61:D61"/>
    <mergeCell ref="F61:H61"/>
    <mergeCell ref="B56:D56"/>
    <mergeCell ref="F56:H56"/>
    <mergeCell ref="B57:D57"/>
    <mergeCell ref="F57:H57"/>
    <mergeCell ref="B58:D58"/>
    <mergeCell ref="F58:H58"/>
    <mergeCell ref="B53:D53"/>
    <mergeCell ref="F53:H53"/>
    <mergeCell ref="B54:D54"/>
    <mergeCell ref="F54:H54"/>
    <mergeCell ref="B55:D55"/>
    <mergeCell ref="F55:H55"/>
    <mergeCell ref="A49:H49"/>
    <mergeCell ref="A50:H50"/>
    <mergeCell ref="B51:D51"/>
    <mergeCell ref="F51:H51"/>
    <mergeCell ref="B52:D52"/>
    <mergeCell ref="F52:H52"/>
    <mergeCell ref="A46:B46"/>
    <mergeCell ref="C46:H46"/>
    <mergeCell ref="A47:B47"/>
    <mergeCell ref="C47:H47"/>
    <mergeCell ref="A48:B48"/>
    <mergeCell ref="C48:H48"/>
    <mergeCell ref="A42:B42"/>
    <mergeCell ref="C42:H42"/>
    <mergeCell ref="A43:B43"/>
    <mergeCell ref="C43:H43"/>
    <mergeCell ref="A45:B45"/>
    <mergeCell ref="C45:H45"/>
    <mergeCell ref="A39:B39"/>
    <mergeCell ref="C39:H39"/>
    <mergeCell ref="A40:B40"/>
    <mergeCell ref="C40:H40"/>
    <mergeCell ref="A41:B41"/>
    <mergeCell ref="C41:H41"/>
    <mergeCell ref="A44:B44"/>
    <mergeCell ref="C44:H44"/>
    <mergeCell ref="A36:D36"/>
    <mergeCell ref="E36:F36"/>
    <mergeCell ref="A37:D37"/>
    <mergeCell ref="E37:F37"/>
    <mergeCell ref="A19:H19"/>
    <mergeCell ref="A20:H20"/>
    <mergeCell ref="A21:H21"/>
    <mergeCell ref="A22:H22"/>
    <mergeCell ref="A23:H23"/>
    <mergeCell ref="E24:H24"/>
    <mergeCell ref="A33:D33"/>
    <mergeCell ref="E33:F33"/>
    <mergeCell ref="A34:D34"/>
    <mergeCell ref="E34:F34"/>
    <mergeCell ref="A18:H18"/>
    <mergeCell ref="A11:D11"/>
    <mergeCell ref="E11:H11"/>
    <mergeCell ref="A12:D12"/>
    <mergeCell ref="E12:H12"/>
    <mergeCell ref="A13:D13"/>
    <mergeCell ref="E13:H13"/>
    <mergeCell ref="A35:D35"/>
    <mergeCell ref="E35:F35"/>
    <mergeCell ref="A6:D6"/>
    <mergeCell ref="E6:H6"/>
    <mergeCell ref="A7:D7"/>
    <mergeCell ref="E7:H7"/>
    <mergeCell ref="A14:D14"/>
    <mergeCell ref="E14:H14"/>
    <mergeCell ref="A15:H15"/>
    <mergeCell ref="A16:H16"/>
    <mergeCell ref="A17:H17"/>
    <mergeCell ref="A38:H38"/>
    <mergeCell ref="A1:H1"/>
    <mergeCell ref="A2:H2"/>
    <mergeCell ref="A3:D3"/>
    <mergeCell ref="E3:H3"/>
    <mergeCell ref="A4:D4"/>
    <mergeCell ref="E4:H4"/>
    <mergeCell ref="E25:H25"/>
    <mergeCell ref="A32:D32"/>
    <mergeCell ref="E32:F32"/>
    <mergeCell ref="E26:H26"/>
    <mergeCell ref="E27:H27"/>
    <mergeCell ref="E28:H28"/>
    <mergeCell ref="E29:H29"/>
    <mergeCell ref="E30:H30"/>
    <mergeCell ref="A31:H31"/>
    <mergeCell ref="A8:D8"/>
    <mergeCell ref="E8:H8"/>
    <mergeCell ref="A9:D9"/>
    <mergeCell ref="E9:H9"/>
    <mergeCell ref="A10:D10"/>
    <mergeCell ref="E10:H10"/>
    <mergeCell ref="A5:D5"/>
    <mergeCell ref="E5:H5"/>
  </mergeCells>
  <printOptions horizontalCentered="1"/>
  <pageMargins left="0.7" right="0.7" top="1.25" bottom="0.78" header="0.3" footer="0.3"/>
  <pageSetup orientation="portrait" r:id="rId1"/>
  <headerFooter>
    <oddHeader>&amp;C&amp;"Century Gothic,Regular"&amp;10&amp;K2F06A2&amp;G
&amp;14Fundraising Strategy &amp; Planning Worksheets&amp;R&amp;"Century Gothic,Regular"&amp;8&amp;P of &amp;N</oddHeader>
    <oddFooter>&amp;C&amp;"Century Gothic,Regular"&amp;9Learn how our award-winning software can help you achieve your fundraising goals at DonorView.com.</oddFooter>
  </headerFooter>
  <rowBreaks count="4" manualBreakCount="4">
    <brk id="21" max="16383" man="1"/>
    <brk id="48" max="16383" man="1"/>
    <brk id="73" max="16383" man="1"/>
    <brk id="102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B6C6-391B-4390-920A-5CF302AF3963}">
  <dimension ref="A1:F96"/>
  <sheetViews>
    <sheetView topLeftCell="A88" workbookViewId="0">
      <selection activeCell="A78" sqref="A78:XFD78"/>
    </sheetView>
  </sheetViews>
  <sheetFormatPr defaultColWidth="8.85546875" defaultRowHeight="16.5" x14ac:dyDescent="0.3"/>
  <cols>
    <col min="1" max="6" width="15" style="62" customWidth="1"/>
    <col min="7" max="16384" width="8.85546875" style="62"/>
  </cols>
  <sheetData>
    <row r="1" spans="1:6" customFormat="1" ht="30" customHeight="1" thickBot="1" x14ac:dyDescent="0.3">
      <c r="A1" s="211" t="s">
        <v>5</v>
      </c>
      <c r="B1" s="295"/>
      <c r="C1" s="295"/>
      <c r="D1" s="295"/>
      <c r="E1" s="295"/>
      <c r="F1" s="213"/>
    </row>
    <row r="2" spans="1:6" ht="27" customHeight="1" thickBot="1" x14ac:dyDescent="0.35">
      <c r="A2" s="299" t="s">
        <v>148</v>
      </c>
      <c r="B2" s="300"/>
      <c r="C2" s="300"/>
      <c r="D2" s="300"/>
      <c r="E2" s="300"/>
      <c r="F2" s="301"/>
    </row>
    <row r="3" spans="1:6" s="63" customFormat="1" ht="27" customHeight="1" x14ac:dyDescent="0.25">
      <c r="A3" s="302" t="s">
        <v>146</v>
      </c>
      <c r="B3" s="303"/>
      <c r="C3" s="303"/>
      <c r="D3" s="303"/>
      <c r="E3" s="303"/>
      <c r="F3" s="304"/>
    </row>
    <row r="4" spans="1:6" s="63" customFormat="1" ht="51" customHeight="1" thickBot="1" x14ac:dyDescent="0.3">
      <c r="A4" s="308"/>
      <c r="B4" s="309"/>
      <c r="C4" s="309"/>
      <c r="D4" s="309"/>
      <c r="E4" s="309"/>
      <c r="F4" s="310"/>
    </row>
    <row r="5" spans="1:6" s="63" customFormat="1" ht="27" customHeight="1" x14ac:dyDescent="0.25">
      <c r="A5" s="302" t="s">
        <v>145</v>
      </c>
      <c r="B5" s="303"/>
      <c r="C5" s="303"/>
      <c r="D5" s="303"/>
      <c r="E5" s="303"/>
      <c r="F5" s="304"/>
    </row>
    <row r="6" spans="1:6" s="63" customFormat="1" ht="51" customHeight="1" thickBot="1" x14ac:dyDescent="0.3">
      <c r="A6" s="308"/>
      <c r="B6" s="309"/>
      <c r="C6" s="309"/>
      <c r="D6" s="309"/>
      <c r="E6" s="309"/>
      <c r="F6" s="310"/>
    </row>
    <row r="7" spans="1:6" s="63" customFormat="1" ht="27" customHeight="1" x14ac:dyDescent="0.25">
      <c r="A7" s="302" t="s">
        <v>147</v>
      </c>
      <c r="B7" s="303"/>
      <c r="C7" s="303"/>
      <c r="D7" s="303"/>
      <c r="E7" s="303"/>
      <c r="F7" s="304"/>
    </row>
    <row r="8" spans="1:6" s="63" customFormat="1" ht="51" customHeight="1" thickBot="1" x14ac:dyDescent="0.3">
      <c r="A8" s="308"/>
      <c r="B8" s="309"/>
      <c r="C8" s="309"/>
      <c r="D8" s="309"/>
      <c r="E8" s="309"/>
      <c r="F8" s="310"/>
    </row>
    <row r="9" spans="1:6" customFormat="1" ht="27" customHeight="1" x14ac:dyDescent="0.25">
      <c r="A9" s="302" t="s">
        <v>150</v>
      </c>
      <c r="B9" s="303"/>
      <c r="C9" s="303"/>
      <c r="D9" s="303"/>
      <c r="E9" s="303"/>
      <c r="F9" s="304"/>
    </row>
    <row r="10" spans="1:6" customFormat="1" ht="75" customHeight="1" thickBot="1" x14ac:dyDescent="0.3">
      <c r="A10" s="308"/>
      <c r="B10" s="309"/>
      <c r="C10" s="309"/>
      <c r="D10" s="309"/>
      <c r="E10" s="309"/>
      <c r="F10" s="310"/>
    </row>
    <row r="11" spans="1:6" customFormat="1" ht="24" customHeight="1" x14ac:dyDescent="0.25">
      <c r="A11" s="296" t="s">
        <v>137</v>
      </c>
      <c r="B11" s="297"/>
      <c r="C11" s="297"/>
      <c r="D11" s="297"/>
      <c r="E11" s="297"/>
      <c r="F11" s="298"/>
    </row>
    <row r="12" spans="1:6" s="63" customFormat="1" ht="27" customHeight="1" x14ac:dyDescent="0.25">
      <c r="A12" s="315" t="s">
        <v>144</v>
      </c>
      <c r="B12" s="316"/>
      <c r="C12" s="316"/>
      <c r="D12" s="316"/>
      <c r="E12" s="316" t="s">
        <v>149</v>
      </c>
      <c r="F12" s="319"/>
    </row>
    <row r="13" spans="1:6" s="63" customFormat="1" ht="27" customHeight="1" x14ac:dyDescent="0.25">
      <c r="A13" s="317" t="s">
        <v>138</v>
      </c>
      <c r="B13" s="318"/>
      <c r="C13" s="318"/>
      <c r="D13" s="318"/>
      <c r="E13" s="311"/>
      <c r="F13" s="312"/>
    </row>
    <row r="14" spans="1:6" s="63" customFormat="1" ht="27" customHeight="1" x14ac:dyDescent="0.25">
      <c r="A14" s="317" t="s">
        <v>139</v>
      </c>
      <c r="B14" s="318"/>
      <c r="C14" s="318"/>
      <c r="D14" s="318"/>
      <c r="E14" s="311"/>
      <c r="F14" s="312"/>
    </row>
    <row r="15" spans="1:6" s="63" customFormat="1" ht="27" customHeight="1" x14ac:dyDescent="0.25">
      <c r="A15" s="317" t="s">
        <v>140</v>
      </c>
      <c r="B15" s="318"/>
      <c r="C15" s="318"/>
      <c r="D15" s="318"/>
      <c r="E15" s="311"/>
      <c r="F15" s="312"/>
    </row>
    <row r="16" spans="1:6" s="63" customFormat="1" ht="27" customHeight="1" x14ac:dyDescent="0.25">
      <c r="A16" s="317" t="s">
        <v>141</v>
      </c>
      <c r="B16" s="318"/>
      <c r="C16" s="318"/>
      <c r="D16" s="318"/>
      <c r="E16" s="311"/>
      <c r="F16" s="312"/>
    </row>
    <row r="17" spans="1:6" s="63" customFormat="1" ht="27" customHeight="1" x14ac:dyDescent="0.25">
      <c r="A17" s="317" t="s">
        <v>142</v>
      </c>
      <c r="B17" s="318"/>
      <c r="C17" s="318"/>
      <c r="D17" s="318"/>
      <c r="E17" s="311"/>
      <c r="F17" s="312"/>
    </row>
    <row r="18" spans="1:6" s="63" customFormat="1" ht="27" customHeight="1" x14ac:dyDescent="0.25">
      <c r="A18" s="317" t="s">
        <v>143</v>
      </c>
      <c r="B18" s="318"/>
      <c r="C18" s="318"/>
      <c r="D18" s="318"/>
      <c r="E18" s="311"/>
      <c r="F18" s="312"/>
    </row>
    <row r="19" spans="1:6" ht="27" customHeight="1" thickBot="1" x14ac:dyDescent="0.35">
      <c r="A19" s="320" t="s">
        <v>161</v>
      </c>
      <c r="B19" s="321"/>
      <c r="C19" s="321"/>
      <c r="D19" s="321"/>
      <c r="E19" s="313"/>
      <c r="F19" s="314"/>
    </row>
    <row r="20" spans="1:6" ht="27" customHeight="1" thickBot="1" x14ac:dyDescent="0.35">
      <c r="A20" s="92"/>
      <c r="B20" s="92"/>
      <c r="C20" s="92"/>
      <c r="D20" s="92"/>
      <c r="E20" s="93"/>
      <c r="F20" s="93"/>
    </row>
    <row r="21" spans="1:6" customFormat="1" ht="30" customHeight="1" thickBot="1" x14ac:dyDescent="0.3">
      <c r="A21" s="211" t="s">
        <v>6</v>
      </c>
      <c r="B21" s="295"/>
      <c r="C21" s="295"/>
      <c r="D21" s="295"/>
      <c r="E21" s="295"/>
      <c r="F21" s="213"/>
    </row>
    <row r="22" spans="1:6" ht="27" customHeight="1" thickBot="1" x14ac:dyDescent="0.35">
      <c r="A22" s="299" t="s">
        <v>151</v>
      </c>
      <c r="B22" s="300"/>
      <c r="C22" s="300"/>
      <c r="D22" s="300"/>
      <c r="E22" s="300"/>
      <c r="F22" s="301"/>
    </row>
    <row r="23" spans="1:6" s="63" customFormat="1" ht="27" customHeight="1" x14ac:dyDescent="0.25">
      <c r="A23" s="305" t="s">
        <v>152</v>
      </c>
      <c r="B23" s="306"/>
      <c r="C23" s="306"/>
      <c r="D23" s="306"/>
      <c r="E23" s="306"/>
      <c r="F23" s="307"/>
    </row>
    <row r="24" spans="1:6" s="63" customFormat="1" ht="30" customHeight="1" thickBot="1" x14ac:dyDescent="0.3">
      <c r="A24" s="308"/>
      <c r="B24" s="309"/>
      <c r="C24" s="309"/>
      <c r="D24" s="309"/>
      <c r="E24" s="309"/>
      <c r="F24" s="310"/>
    </row>
    <row r="25" spans="1:6" s="63" customFormat="1" ht="27" customHeight="1" x14ac:dyDescent="0.25">
      <c r="A25" s="305" t="s">
        <v>153</v>
      </c>
      <c r="B25" s="306"/>
      <c r="C25" s="306"/>
      <c r="D25" s="306"/>
      <c r="E25" s="306"/>
      <c r="F25" s="307"/>
    </row>
    <row r="26" spans="1:6" s="63" customFormat="1" ht="30" customHeight="1" thickBot="1" x14ac:dyDescent="0.3">
      <c r="A26" s="308"/>
      <c r="B26" s="309"/>
      <c r="C26" s="309"/>
      <c r="D26" s="309"/>
      <c r="E26" s="309"/>
      <c r="F26" s="310"/>
    </row>
    <row r="27" spans="1:6" s="63" customFormat="1" ht="27" customHeight="1" x14ac:dyDescent="0.25">
      <c r="A27" s="305" t="s">
        <v>154</v>
      </c>
      <c r="B27" s="306"/>
      <c r="C27" s="306"/>
      <c r="D27" s="306"/>
      <c r="E27" s="306"/>
      <c r="F27" s="307"/>
    </row>
    <row r="28" spans="1:6" s="63" customFormat="1" ht="30" customHeight="1" thickBot="1" x14ac:dyDescent="0.3">
      <c r="A28" s="308"/>
      <c r="B28" s="309"/>
      <c r="C28" s="309"/>
      <c r="D28" s="309"/>
      <c r="E28" s="309"/>
      <c r="F28" s="310"/>
    </row>
    <row r="29" spans="1:6" s="63" customFormat="1" ht="30" customHeight="1" x14ac:dyDescent="0.25">
      <c r="A29" s="305" t="s">
        <v>165</v>
      </c>
      <c r="B29" s="306"/>
      <c r="C29" s="306"/>
      <c r="D29" s="306"/>
      <c r="E29" s="306"/>
      <c r="F29" s="307"/>
    </row>
    <row r="30" spans="1:6" s="63" customFormat="1" ht="30" customHeight="1" thickBot="1" x14ac:dyDescent="0.3">
      <c r="A30" s="308"/>
      <c r="B30" s="309"/>
      <c r="C30" s="309"/>
      <c r="D30" s="309"/>
      <c r="E30" s="309"/>
      <c r="F30" s="310"/>
    </row>
    <row r="31" spans="1:6" customFormat="1" ht="27" customHeight="1" x14ac:dyDescent="0.25">
      <c r="A31" s="305" t="s">
        <v>164</v>
      </c>
      <c r="B31" s="306"/>
      <c r="C31" s="306"/>
      <c r="D31" s="306"/>
      <c r="E31" s="306"/>
      <c r="F31" s="307"/>
    </row>
    <row r="32" spans="1:6" customFormat="1" ht="75" customHeight="1" thickBot="1" x14ac:dyDescent="0.3">
      <c r="A32" s="308"/>
      <c r="B32" s="309"/>
      <c r="C32" s="309"/>
      <c r="D32" s="309"/>
      <c r="E32" s="309"/>
      <c r="F32" s="310"/>
    </row>
    <row r="33" spans="1:6" customFormat="1" ht="24" customHeight="1" x14ac:dyDescent="0.25">
      <c r="A33" s="296" t="s">
        <v>156</v>
      </c>
      <c r="B33" s="297"/>
      <c r="C33" s="297"/>
      <c r="D33" s="297"/>
      <c r="E33" s="297"/>
      <c r="F33" s="298"/>
    </row>
    <row r="34" spans="1:6" s="63" customFormat="1" ht="27" customHeight="1" x14ac:dyDescent="0.25">
      <c r="A34" s="315" t="s">
        <v>144</v>
      </c>
      <c r="B34" s="316"/>
      <c r="C34" s="316"/>
      <c r="D34" s="316"/>
      <c r="E34" s="316" t="s">
        <v>149</v>
      </c>
      <c r="F34" s="319"/>
    </row>
    <row r="35" spans="1:6" s="63" customFormat="1" ht="27" customHeight="1" x14ac:dyDescent="0.25">
      <c r="A35" s="317" t="s">
        <v>155</v>
      </c>
      <c r="B35" s="318"/>
      <c r="C35" s="318"/>
      <c r="D35" s="318"/>
      <c r="E35" s="311"/>
      <c r="F35" s="312"/>
    </row>
    <row r="36" spans="1:6" s="63" customFormat="1" ht="27" customHeight="1" x14ac:dyDescent="0.25">
      <c r="A36" s="317" t="s">
        <v>158</v>
      </c>
      <c r="B36" s="318"/>
      <c r="C36" s="318"/>
      <c r="D36" s="318"/>
      <c r="E36" s="311"/>
      <c r="F36" s="312"/>
    </row>
    <row r="37" spans="1:6" s="63" customFormat="1" ht="27" customHeight="1" x14ac:dyDescent="0.25">
      <c r="A37" s="317" t="s">
        <v>159</v>
      </c>
      <c r="B37" s="318"/>
      <c r="C37" s="318"/>
      <c r="D37" s="318"/>
      <c r="E37" s="311"/>
      <c r="F37" s="312"/>
    </row>
    <row r="38" spans="1:6" s="63" customFormat="1" ht="27" customHeight="1" x14ac:dyDescent="0.25">
      <c r="A38" s="317" t="s">
        <v>157</v>
      </c>
      <c r="B38" s="318"/>
      <c r="C38" s="318"/>
      <c r="D38" s="318"/>
      <c r="E38" s="311"/>
      <c r="F38" s="312"/>
    </row>
    <row r="39" spans="1:6" s="63" customFormat="1" ht="27" customHeight="1" x14ac:dyDescent="0.25">
      <c r="A39" s="317" t="s">
        <v>160</v>
      </c>
      <c r="B39" s="318"/>
      <c r="C39" s="318"/>
      <c r="D39" s="318"/>
      <c r="E39" s="311"/>
      <c r="F39" s="312"/>
    </row>
    <row r="40" spans="1:6" s="63" customFormat="1" ht="27" customHeight="1" x14ac:dyDescent="0.25">
      <c r="A40" s="317" t="s">
        <v>162</v>
      </c>
      <c r="B40" s="318"/>
      <c r="C40" s="318"/>
      <c r="D40" s="318"/>
      <c r="E40" s="311"/>
      <c r="F40" s="312"/>
    </row>
    <row r="41" spans="1:6" ht="27" customHeight="1" thickBot="1" x14ac:dyDescent="0.35">
      <c r="A41" s="320" t="s">
        <v>163</v>
      </c>
      <c r="B41" s="321"/>
      <c r="C41" s="321"/>
      <c r="D41" s="321"/>
      <c r="E41" s="313"/>
      <c r="F41" s="314"/>
    </row>
    <row r="42" spans="1:6" ht="27" customHeight="1" thickBot="1" x14ac:dyDescent="0.35">
      <c r="A42" s="92"/>
      <c r="B42" s="92"/>
      <c r="C42" s="92"/>
      <c r="D42" s="92"/>
      <c r="E42" s="93"/>
      <c r="F42" s="93"/>
    </row>
    <row r="43" spans="1:6" customFormat="1" ht="30" customHeight="1" thickBot="1" x14ac:dyDescent="0.3">
      <c r="A43" s="211" t="s">
        <v>7</v>
      </c>
      <c r="B43" s="295"/>
      <c r="C43" s="295"/>
      <c r="D43" s="295"/>
      <c r="E43" s="295"/>
      <c r="F43" s="213"/>
    </row>
    <row r="44" spans="1:6" ht="27" customHeight="1" thickBot="1" x14ac:dyDescent="0.35">
      <c r="A44" s="299" t="s">
        <v>166</v>
      </c>
      <c r="B44" s="300"/>
      <c r="C44" s="300"/>
      <c r="D44" s="300"/>
      <c r="E44" s="300"/>
      <c r="F44" s="301"/>
    </row>
    <row r="45" spans="1:6" ht="18" customHeight="1" x14ac:dyDescent="0.3">
      <c r="A45" s="96" t="s">
        <v>167</v>
      </c>
      <c r="B45" s="97" t="s">
        <v>199</v>
      </c>
      <c r="C45" s="97" t="s">
        <v>228</v>
      </c>
      <c r="D45" s="97" t="s">
        <v>260</v>
      </c>
      <c r="E45" s="98" t="s">
        <v>290</v>
      </c>
      <c r="F45" s="99" t="s">
        <v>322</v>
      </c>
    </row>
    <row r="46" spans="1:6" ht="18" customHeight="1" x14ac:dyDescent="0.3">
      <c r="A46" s="67" t="s">
        <v>168</v>
      </c>
      <c r="B46" s="64" t="s">
        <v>200</v>
      </c>
      <c r="C46" s="64" t="s">
        <v>229</v>
      </c>
      <c r="D46" s="66" t="s">
        <v>261</v>
      </c>
      <c r="E46" s="65" t="s">
        <v>291</v>
      </c>
      <c r="F46" s="68" t="s">
        <v>323</v>
      </c>
    </row>
    <row r="47" spans="1:6" ht="18" customHeight="1" x14ac:dyDescent="0.3">
      <c r="A47" s="67" t="s">
        <v>169</v>
      </c>
      <c r="B47" s="64" t="s">
        <v>201</v>
      </c>
      <c r="C47" s="64" t="s">
        <v>230</v>
      </c>
      <c r="D47" s="66" t="s">
        <v>356</v>
      </c>
      <c r="E47" s="65" t="s">
        <v>292</v>
      </c>
      <c r="F47" s="68" t="s">
        <v>324</v>
      </c>
    </row>
    <row r="48" spans="1:6" ht="18" customHeight="1" x14ac:dyDescent="0.3">
      <c r="A48" s="67" t="s">
        <v>170</v>
      </c>
      <c r="B48" s="64" t="s">
        <v>202</v>
      </c>
      <c r="C48" s="64" t="s">
        <v>231</v>
      </c>
      <c r="D48" s="64" t="s">
        <v>262</v>
      </c>
      <c r="E48" s="65" t="s">
        <v>293</v>
      </c>
      <c r="F48" s="68" t="s">
        <v>325</v>
      </c>
    </row>
    <row r="49" spans="1:6" ht="18" customHeight="1" x14ac:dyDescent="0.3">
      <c r="A49" s="67" t="s">
        <v>171</v>
      </c>
      <c r="B49" s="64" t="s">
        <v>203</v>
      </c>
      <c r="C49" s="64" t="s">
        <v>232</v>
      </c>
      <c r="D49" s="64" t="s">
        <v>263</v>
      </c>
      <c r="E49" s="65" t="s">
        <v>294</v>
      </c>
      <c r="F49" s="68" t="s">
        <v>326</v>
      </c>
    </row>
    <row r="50" spans="1:6" ht="18" customHeight="1" x14ac:dyDescent="0.3">
      <c r="A50" s="67" t="s">
        <v>172</v>
      </c>
      <c r="B50" s="64" t="s">
        <v>204</v>
      </c>
      <c r="C50" s="64" t="s">
        <v>233</v>
      </c>
      <c r="D50" s="64" t="s">
        <v>264</v>
      </c>
      <c r="E50" s="65" t="s">
        <v>295</v>
      </c>
      <c r="F50" s="68" t="s">
        <v>327</v>
      </c>
    </row>
    <row r="51" spans="1:6" ht="18" customHeight="1" x14ac:dyDescent="0.3">
      <c r="A51" s="67" t="s">
        <v>173</v>
      </c>
      <c r="B51" s="64" t="s">
        <v>205</v>
      </c>
      <c r="C51" s="64" t="s">
        <v>234</v>
      </c>
      <c r="D51" s="64" t="s">
        <v>265</v>
      </c>
      <c r="E51" s="65" t="s">
        <v>296</v>
      </c>
      <c r="F51" s="68" t="s">
        <v>328</v>
      </c>
    </row>
    <row r="52" spans="1:6" ht="18" customHeight="1" x14ac:dyDescent="0.3">
      <c r="A52" s="67" t="s">
        <v>174</v>
      </c>
      <c r="B52" s="64" t="s">
        <v>206</v>
      </c>
      <c r="C52" s="64" t="s">
        <v>235</v>
      </c>
      <c r="D52" s="64" t="s">
        <v>266</v>
      </c>
      <c r="E52" s="65" t="s">
        <v>297</v>
      </c>
      <c r="F52" s="68" t="s">
        <v>329</v>
      </c>
    </row>
    <row r="53" spans="1:6" ht="18" customHeight="1" x14ac:dyDescent="0.3">
      <c r="A53" s="67" t="s">
        <v>175</v>
      </c>
      <c r="B53" s="64" t="s">
        <v>207</v>
      </c>
      <c r="C53" s="64" t="s">
        <v>236</v>
      </c>
      <c r="D53" s="64" t="s">
        <v>141</v>
      </c>
      <c r="E53" s="65" t="s">
        <v>298</v>
      </c>
      <c r="F53" s="68" t="s">
        <v>330</v>
      </c>
    </row>
    <row r="54" spans="1:6" s="63" customFormat="1" ht="18" customHeight="1" x14ac:dyDescent="0.25">
      <c r="A54" s="67" t="s">
        <v>176</v>
      </c>
      <c r="B54" s="64" t="s">
        <v>208</v>
      </c>
      <c r="C54" s="64" t="s">
        <v>237</v>
      </c>
      <c r="D54" s="64" t="s">
        <v>267</v>
      </c>
      <c r="E54" s="65" t="s">
        <v>299</v>
      </c>
      <c r="F54" s="68" t="s">
        <v>331</v>
      </c>
    </row>
    <row r="55" spans="1:6" s="63" customFormat="1" ht="18" customHeight="1" x14ac:dyDescent="0.25">
      <c r="A55" s="67" t="s">
        <v>177</v>
      </c>
      <c r="B55" s="64" t="s">
        <v>209</v>
      </c>
      <c r="C55" s="64" t="s">
        <v>238</v>
      </c>
      <c r="D55" s="64" t="s">
        <v>268</v>
      </c>
      <c r="E55" s="65" t="s">
        <v>300</v>
      </c>
      <c r="F55" s="68" t="s">
        <v>332</v>
      </c>
    </row>
    <row r="56" spans="1:6" s="63" customFormat="1" ht="18" customHeight="1" x14ac:dyDescent="0.25">
      <c r="A56" s="67" t="s">
        <v>178</v>
      </c>
      <c r="B56" s="64" t="s">
        <v>210</v>
      </c>
      <c r="C56" s="64" t="s">
        <v>239</v>
      </c>
      <c r="D56" s="64" t="s">
        <v>269</v>
      </c>
      <c r="E56" s="65" t="s">
        <v>301</v>
      </c>
      <c r="F56" s="68" t="s">
        <v>333</v>
      </c>
    </row>
    <row r="57" spans="1:6" s="63" customFormat="1" ht="18" customHeight="1" x14ac:dyDescent="0.25">
      <c r="A57" s="67" t="s">
        <v>179</v>
      </c>
      <c r="B57" s="64" t="s">
        <v>211</v>
      </c>
      <c r="C57" s="64" t="s">
        <v>240</v>
      </c>
      <c r="D57" s="64" t="s">
        <v>270</v>
      </c>
      <c r="E57" s="65" t="s">
        <v>302</v>
      </c>
      <c r="F57" s="68" t="s">
        <v>334</v>
      </c>
    </row>
    <row r="58" spans="1:6" s="63" customFormat="1" ht="18" customHeight="1" x14ac:dyDescent="0.25">
      <c r="A58" s="67" t="s">
        <v>180</v>
      </c>
      <c r="B58" s="64" t="s">
        <v>212</v>
      </c>
      <c r="C58" s="64" t="s">
        <v>241</v>
      </c>
      <c r="D58" s="64" t="s">
        <v>271</v>
      </c>
      <c r="E58" s="65" t="s">
        <v>303</v>
      </c>
      <c r="F58" s="68" t="s">
        <v>335</v>
      </c>
    </row>
    <row r="59" spans="1:6" s="63" customFormat="1" ht="18" customHeight="1" x14ac:dyDescent="0.25">
      <c r="A59" s="67" t="s">
        <v>181</v>
      </c>
      <c r="B59" s="64" t="s">
        <v>213</v>
      </c>
      <c r="C59" s="64" t="s">
        <v>242</v>
      </c>
      <c r="D59" s="64" t="s">
        <v>272</v>
      </c>
      <c r="E59" s="65" t="s">
        <v>304</v>
      </c>
      <c r="F59" s="68" t="s">
        <v>336</v>
      </c>
    </row>
    <row r="60" spans="1:6" s="63" customFormat="1" ht="18" customHeight="1" x14ac:dyDescent="0.25">
      <c r="A60" s="67" t="s">
        <v>182</v>
      </c>
      <c r="B60" s="64" t="s">
        <v>214</v>
      </c>
      <c r="C60" s="64" t="s">
        <v>243</v>
      </c>
      <c r="D60" s="64" t="s">
        <v>273</v>
      </c>
      <c r="E60" s="65" t="s">
        <v>305</v>
      </c>
      <c r="F60" s="68" t="s">
        <v>337</v>
      </c>
    </row>
    <row r="61" spans="1:6" s="63" customFormat="1" ht="18" customHeight="1" x14ac:dyDescent="0.25">
      <c r="A61" s="67" t="s">
        <v>183</v>
      </c>
      <c r="B61" s="64" t="s">
        <v>215</v>
      </c>
      <c r="C61" s="64" t="s">
        <v>244</v>
      </c>
      <c r="D61" s="64" t="s">
        <v>274</v>
      </c>
      <c r="E61" s="65" t="s">
        <v>306</v>
      </c>
      <c r="F61" s="68" t="s">
        <v>338</v>
      </c>
    </row>
    <row r="62" spans="1:6" s="63" customFormat="1" ht="18" customHeight="1" x14ac:dyDescent="0.25">
      <c r="A62" s="67" t="s">
        <v>184</v>
      </c>
      <c r="B62" s="64" t="s">
        <v>216</v>
      </c>
      <c r="C62" s="64" t="s">
        <v>245</v>
      </c>
      <c r="D62" s="64" t="s">
        <v>275</v>
      </c>
      <c r="E62" s="65" t="s">
        <v>307</v>
      </c>
      <c r="F62" s="68" t="s">
        <v>339</v>
      </c>
    </row>
    <row r="63" spans="1:6" s="63" customFormat="1" ht="18" customHeight="1" x14ac:dyDescent="0.25">
      <c r="A63" s="67" t="s">
        <v>185</v>
      </c>
      <c r="B63" s="64" t="s">
        <v>217</v>
      </c>
      <c r="C63" s="64" t="s">
        <v>246</v>
      </c>
      <c r="D63" s="64" t="s">
        <v>276</v>
      </c>
      <c r="E63" s="65" t="s">
        <v>308</v>
      </c>
      <c r="F63" s="68" t="s">
        <v>340</v>
      </c>
    </row>
    <row r="64" spans="1:6" s="63" customFormat="1" ht="18" customHeight="1" x14ac:dyDescent="0.25">
      <c r="A64" s="67" t="s">
        <v>186</v>
      </c>
      <c r="B64" s="64" t="s">
        <v>218</v>
      </c>
      <c r="C64" s="64" t="s">
        <v>247</v>
      </c>
      <c r="D64" s="64" t="s">
        <v>277</v>
      </c>
      <c r="E64" s="65" t="s">
        <v>309</v>
      </c>
      <c r="F64" s="68" t="s">
        <v>341</v>
      </c>
    </row>
    <row r="65" spans="1:6" s="63" customFormat="1" ht="18" customHeight="1" x14ac:dyDescent="0.25">
      <c r="A65" s="67" t="s">
        <v>187</v>
      </c>
      <c r="B65" s="64" t="s">
        <v>219</v>
      </c>
      <c r="C65" s="64" t="s">
        <v>248</v>
      </c>
      <c r="D65" s="64" t="s">
        <v>278</v>
      </c>
      <c r="E65" s="65" t="s">
        <v>310</v>
      </c>
      <c r="F65" s="68" t="s">
        <v>342</v>
      </c>
    </row>
    <row r="66" spans="1:6" s="63" customFormat="1" ht="18" customHeight="1" x14ac:dyDescent="0.25">
      <c r="A66" s="67" t="s">
        <v>188</v>
      </c>
      <c r="B66" s="64" t="s">
        <v>220</v>
      </c>
      <c r="C66" s="64" t="s">
        <v>249</v>
      </c>
      <c r="D66" s="64" t="s">
        <v>279</v>
      </c>
      <c r="E66" s="65" t="s">
        <v>311</v>
      </c>
      <c r="F66" s="68" t="s">
        <v>343</v>
      </c>
    </row>
    <row r="67" spans="1:6" s="63" customFormat="1" ht="18" customHeight="1" x14ac:dyDescent="0.25">
      <c r="A67" s="67" t="s">
        <v>189</v>
      </c>
      <c r="B67" s="64" t="s">
        <v>221</v>
      </c>
      <c r="C67" s="64" t="s">
        <v>250</v>
      </c>
      <c r="D67" s="65" t="s">
        <v>280</v>
      </c>
      <c r="E67" s="65" t="s">
        <v>312</v>
      </c>
      <c r="F67" s="68" t="s">
        <v>344</v>
      </c>
    </row>
    <row r="68" spans="1:6" s="63" customFormat="1" ht="18" customHeight="1" x14ac:dyDescent="0.25">
      <c r="A68" s="67" t="s">
        <v>190</v>
      </c>
      <c r="B68" s="64" t="s">
        <v>355</v>
      </c>
      <c r="C68" s="64" t="s">
        <v>251</v>
      </c>
      <c r="D68" s="65" t="s">
        <v>281</v>
      </c>
      <c r="E68" s="65" t="s">
        <v>313</v>
      </c>
      <c r="F68" s="68" t="s">
        <v>345</v>
      </c>
    </row>
    <row r="69" spans="1:6" s="63" customFormat="1" ht="18" customHeight="1" x14ac:dyDescent="0.25">
      <c r="A69" s="67" t="s">
        <v>191</v>
      </c>
      <c r="B69" s="64" t="s">
        <v>354</v>
      </c>
      <c r="C69" s="64" t="s">
        <v>252</v>
      </c>
      <c r="D69" s="65" t="s">
        <v>282</v>
      </c>
      <c r="E69" s="65" t="s">
        <v>314</v>
      </c>
      <c r="F69" s="68" t="s">
        <v>346</v>
      </c>
    </row>
    <row r="70" spans="1:6" s="63" customFormat="1" ht="18" customHeight="1" x14ac:dyDescent="0.25">
      <c r="A70" s="67" t="s">
        <v>192</v>
      </c>
      <c r="B70" s="64" t="s">
        <v>222</v>
      </c>
      <c r="C70" s="64" t="s">
        <v>253</v>
      </c>
      <c r="D70" s="65" t="s">
        <v>283</v>
      </c>
      <c r="E70" s="65" t="s">
        <v>315</v>
      </c>
      <c r="F70" s="68" t="s">
        <v>347</v>
      </c>
    </row>
    <row r="71" spans="1:6" s="63" customFormat="1" ht="18" customHeight="1" x14ac:dyDescent="0.25">
      <c r="A71" s="67" t="s">
        <v>193</v>
      </c>
      <c r="B71" s="64" t="s">
        <v>223</v>
      </c>
      <c r="C71" s="64" t="s">
        <v>254</v>
      </c>
      <c r="D71" s="65" t="s">
        <v>284</v>
      </c>
      <c r="E71" s="65" t="s">
        <v>316</v>
      </c>
      <c r="F71" s="68" t="s">
        <v>348</v>
      </c>
    </row>
    <row r="72" spans="1:6" customFormat="1" ht="18" customHeight="1" x14ac:dyDescent="0.25">
      <c r="A72" s="67" t="s">
        <v>194</v>
      </c>
      <c r="B72" s="64" t="s">
        <v>224</v>
      </c>
      <c r="C72" s="64" t="s">
        <v>255</v>
      </c>
      <c r="D72" s="65" t="s">
        <v>285</v>
      </c>
      <c r="E72" s="65" t="s">
        <v>317</v>
      </c>
      <c r="F72" s="68" t="s">
        <v>349</v>
      </c>
    </row>
    <row r="73" spans="1:6" customFormat="1" ht="18" customHeight="1" x14ac:dyDescent="0.25">
      <c r="A73" s="67" t="s">
        <v>195</v>
      </c>
      <c r="B73" s="64" t="s">
        <v>225</v>
      </c>
      <c r="C73" s="64" t="s">
        <v>256</v>
      </c>
      <c r="D73" s="65" t="s">
        <v>286</v>
      </c>
      <c r="E73" s="65" t="s">
        <v>318</v>
      </c>
      <c r="F73" s="68" t="s">
        <v>350</v>
      </c>
    </row>
    <row r="74" spans="1:6" customFormat="1" ht="18" customHeight="1" x14ac:dyDescent="0.25">
      <c r="A74" s="67" t="s">
        <v>196</v>
      </c>
      <c r="B74" s="64" t="s">
        <v>226</v>
      </c>
      <c r="C74" s="64" t="s">
        <v>257</v>
      </c>
      <c r="D74" s="65" t="s">
        <v>287</v>
      </c>
      <c r="E74" s="65" t="s">
        <v>319</v>
      </c>
      <c r="F74" s="68" t="s">
        <v>351</v>
      </c>
    </row>
    <row r="75" spans="1:6" s="63" customFormat="1" ht="18" customHeight="1" x14ac:dyDescent="0.25">
      <c r="A75" s="67" t="s">
        <v>197</v>
      </c>
      <c r="B75" s="64" t="s">
        <v>227</v>
      </c>
      <c r="C75" s="64" t="s">
        <v>258</v>
      </c>
      <c r="D75" s="65" t="s">
        <v>288</v>
      </c>
      <c r="E75" s="65" t="s">
        <v>320</v>
      </c>
      <c r="F75" s="68" t="s">
        <v>352</v>
      </c>
    </row>
    <row r="76" spans="1:6" s="63" customFormat="1" ht="18" customHeight="1" thickBot="1" x14ac:dyDescent="0.3">
      <c r="A76" s="69" t="s">
        <v>198</v>
      </c>
      <c r="B76" s="70" t="s">
        <v>357</v>
      </c>
      <c r="C76" s="70" t="s">
        <v>259</v>
      </c>
      <c r="D76" s="71" t="s">
        <v>289</v>
      </c>
      <c r="E76" s="71" t="s">
        <v>321</v>
      </c>
      <c r="F76" s="72" t="s">
        <v>353</v>
      </c>
    </row>
    <row r="77" spans="1:6" s="63" customFormat="1" ht="18" customHeight="1" thickBot="1" x14ac:dyDescent="0.3">
      <c r="A77" s="94"/>
      <c r="B77" s="94"/>
      <c r="C77" s="94"/>
      <c r="D77" s="95"/>
      <c r="E77" s="95"/>
      <c r="F77" s="95"/>
    </row>
    <row r="78" spans="1:6" ht="30" customHeight="1" thickBot="1" x14ac:dyDescent="0.35">
      <c r="A78" s="211" t="s">
        <v>7</v>
      </c>
      <c r="B78" s="295"/>
      <c r="C78" s="295"/>
      <c r="D78" s="295"/>
      <c r="E78" s="295"/>
      <c r="F78" s="213"/>
    </row>
    <row r="79" spans="1:6" ht="27" customHeight="1" thickBot="1" x14ac:dyDescent="0.35">
      <c r="A79" s="299" t="s">
        <v>358</v>
      </c>
      <c r="B79" s="300"/>
      <c r="C79" s="300"/>
      <c r="D79" s="300"/>
      <c r="E79" s="300"/>
      <c r="F79" s="301"/>
    </row>
    <row r="80" spans="1:6" s="63" customFormat="1" ht="27" customHeight="1" x14ac:dyDescent="0.25">
      <c r="A80" s="305" t="s">
        <v>359</v>
      </c>
      <c r="B80" s="306"/>
      <c r="C80" s="306"/>
      <c r="D80" s="306"/>
      <c r="E80" s="306"/>
      <c r="F80" s="307"/>
    </row>
    <row r="81" spans="1:6" s="63" customFormat="1" ht="30" customHeight="1" thickBot="1" x14ac:dyDescent="0.3">
      <c r="A81" s="308"/>
      <c r="B81" s="309"/>
      <c r="C81" s="309"/>
      <c r="D81" s="309"/>
      <c r="E81" s="309"/>
      <c r="F81" s="310"/>
    </row>
    <row r="82" spans="1:6" s="63" customFormat="1" ht="27" customHeight="1" x14ac:dyDescent="0.25">
      <c r="A82" s="305" t="s">
        <v>360</v>
      </c>
      <c r="B82" s="306"/>
      <c r="C82" s="306"/>
      <c r="D82" s="306"/>
      <c r="E82" s="306"/>
      <c r="F82" s="307"/>
    </row>
    <row r="83" spans="1:6" s="63" customFormat="1" ht="30" customHeight="1" thickBot="1" x14ac:dyDescent="0.3">
      <c r="A83" s="308"/>
      <c r="B83" s="309"/>
      <c r="C83" s="309"/>
      <c r="D83" s="309"/>
      <c r="E83" s="309"/>
      <c r="F83" s="310"/>
    </row>
    <row r="84" spans="1:6" s="63" customFormat="1" ht="27" customHeight="1" x14ac:dyDescent="0.25">
      <c r="A84" s="305" t="s">
        <v>361</v>
      </c>
      <c r="B84" s="306"/>
      <c r="C84" s="306"/>
      <c r="D84" s="306"/>
      <c r="E84" s="306"/>
      <c r="F84" s="307"/>
    </row>
    <row r="85" spans="1:6" s="63" customFormat="1" ht="30" customHeight="1" thickBot="1" x14ac:dyDescent="0.3">
      <c r="A85" s="308"/>
      <c r="B85" s="309"/>
      <c r="C85" s="309"/>
      <c r="D85" s="309"/>
      <c r="E85" s="309"/>
      <c r="F85" s="310"/>
    </row>
    <row r="86" spans="1:6" s="63" customFormat="1" ht="30" customHeight="1" x14ac:dyDescent="0.25">
      <c r="A86" s="305" t="s">
        <v>362</v>
      </c>
      <c r="B86" s="306"/>
      <c r="C86" s="306"/>
      <c r="D86" s="306"/>
      <c r="E86" s="306"/>
      <c r="F86" s="307"/>
    </row>
    <row r="87" spans="1:6" s="63" customFormat="1" ht="30" customHeight="1" thickBot="1" x14ac:dyDescent="0.3">
      <c r="A87" s="308"/>
      <c r="B87" s="309"/>
      <c r="C87" s="309"/>
      <c r="D87" s="309"/>
      <c r="E87" s="309"/>
      <c r="F87" s="310"/>
    </row>
    <row r="88" spans="1:6" customFormat="1" ht="27" customHeight="1" x14ac:dyDescent="0.25">
      <c r="A88" s="305" t="s">
        <v>363</v>
      </c>
      <c r="B88" s="306"/>
      <c r="C88" s="306"/>
      <c r="D88" s="306"/>
      <c r="E88" s="306"/>
      <c r="F88" s="307"/>
    </row>
    <row r="89" spans="1:6" customFormat="1" ht="136.9" customHeight="1" thickBot="1" x14ac:dyDescent="0.3">
      <c r="A89" s="308"/>
      <c r="B89" s="309"/>
      <c r="C89" s="309"/>
      <c r="D89" s="309"/>
      <c r="E89" s="309"/>
      <c r="F89" s="310"/>
    </row>
    <row r="90" spans="1:6" customFormat="1" ht="24" customHeight="1" x14ac:dyDescent="0.25">
      <c r="A90" s="296" t="s">
        <v>364</v>
      </c>
      <c r="B90" s="297"/>
      <c r="C90" s="297"/>
      <c r="D90" s="297"/>
      <c r="E90" s="297"/>
      <c r="F90" s="298"/>
    </row>
    <row r="91" spans="1:6" s="63" customFormat="1" ht="27" customHeight="1" x14ac:dyDescent="0.25">
      <c r="A91" s="315" t="s">
        <v>144</v>
      </c>
      <c r="B91" s="316"/>
      <c r="C91" s="316"/>
      <c r="D91" s="316"/>
      <c r="E91" s="316" t="s">
        <v>149</v>
      </c>
      <c r="F91" s="319"/>
    </row>
    <row r="92" spans="1:6" s="63" customFormat="1" ht="27" customHeight="1" x14ac:dyDescent="0.25">
      <c r="A92" s="317" t="s">
        <v>365</v>
      </c>
      <c r="B92" s="318"/>
      <c r="C92" s="318"/>
      <c r="D92" s="318"/>
      <c r="E92" s="311"/>
      <c r="F92" s="312"/>
    </row>
    <row r="93" spans="1:6" s="63" customFormat="1" ht="27" customHeight="1" x14ac:dyDescent="0.25">
      <c r="A93" s="317" t="s">
        <v>366</v>
      </c>
      <c r="B93" s="318"/>
      <c r="C93" s="318"/>
      <c r="D93" s="318"/>
      <c r="E93" s="311"/>
      <c r="F93" s="312"/>
    </row>
    <row r="94" spans="1:6" s="63" customFormat="1" ht="27" customHeight="1" x14ac:dyDescent="0.25">
      <c r="A94" s="317" t="s">
        <v>367</v>
      </c>
      <c r="B94" s="318"/>
      <c r="C94" s="318"/>
      <c r="D94" s="318"/>
      <c r="E94" s="311"/>
      <c r="F94" s="312"/>
    </row>
    <row r="95" spans="1:6" s="63" customFormat="1" ht="27" customHeight="1" x14ac:dyDescent="0.25">
      <c r="A95" s="317" t="s">
        <v>368</v>
      </c>
      <c r="B95" s="318"/>
      <c r="C95" s="318"/>
      <c r="D95" s="318"/>
      <c r="E95" s="311"/>
      <c r="F95" s="312"/>
    </row>
    <row r="96" spans="1:6" s="63" customFormat="1" ht="27" customHeight="1" thickBot="1" x14ac:dyDescent="0.3">
      <c r="A96" s="320" t="s">
        <v>369</v>
      </c>
      <c r="B96" s="321"/>
      <c r="C96" s="321"/>
      <c r="D96" s="321"/>
      <c r="E96" s="313"/>
      <c r="F96" s="314"/>
    </row>
  </sheetData>
  <mergeCells count="83">
    <mergeCell ref="A94:D94"/>
    <mergeCell ref="E94:F94"/>
    <mergeCell ref="A95:D95"/>
    <mergeCell ref="E95:F95"/>
    <mergeCell ref="A96:D96"/>
    <mergeCell ref="E96:F96"/>
    <mergeCell ref="A91:D91"/>
    <mergeCell ref="E91:F91"/>
    <mergeCell ref="A92:D92"/>
    <mergeCell ref="E92:F92"/>
    <mergeCell ref="A93:D93"/>
    <mergeCell ref="E93:F93"/>
    <mergeCell ref="A90:F90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78:F78"/>
    <mergeCell ref="A19:D19"/>
    <mergeCell ref="E34:F34"/>
    <mergeCell ref="E35:F35"/>
    <mergeCell ref="E36:F36"/>
    <mergeCell ref="E37:F37"/>
    <mergeCell ref="E38:F38"/>
    <mergeCell ref="A34:D34"/>
    <mergeCell ref="A35:D35"/>
    <mergeCell ref="A36:D36"/>
    <mergeCell ref="A37:D37"/>
    <mergeCell ref="A32:F32"/>
    <mergeCell ref="A33:F33"/>
    <mergeCell ref="A44:F44"/>
    <mergeCell ref="E39:F39"/>
    <mergeCell ref="E40:F40"/>
    <mergeCell ref="A27:F27"/>
    <mergeCell ref="A28:F28"/>
    <mergeCell ref="A29:F29"/>
    <mergeCell ref="A30:F30"/>
    <mergeCell ref="A43:F43"/>
    <mergeCell ref="A31:F31"/>
    <mergeCell ref="E41:F41"/>
    <mergeCell ref="A38:D38"/>
    <mergeCell ref="A39:D39"/>
    <mergeCell ref="A40:D40"/>
    <mergeCell ref="A41:D41"/>
    <mergeCell ref="A12:D12"/>
    <mergeCell ref="A10:F10"/>
    <mergeCell ref="A24:F24"/>
    <mergeCell ref="A25:F25"/>
    <mergeCell ref="A26:F26"/>
    <mergeCell ref="A18:D18"/>
    <mergeCell ref="E12:F12"/>
    <mergeCell ref="E13:F13"/>
    <mergeCell ref="E14:F14"/>
    <mergeCell ref="E15:F15"/>
    <mergeCell ref="E16:F16"/>
    <mergeCell ref="A13:D13"/>
    <mergeCell ref="A14:D14"/>
    <mergeCell ref="A15:D15"/>
    <mergeCell ref="A16:D16"/>
    <mergeCell ref="A17:D17"/>
    <mergeCell ref="A1:F1"/>
    <mergeCell ref="A11:F11"/>
    <mergeCell ref="A2:F2"/>
    <mergeCell ref="A3:F3"/>
    <mergeCell ref="A23:F23"/>
    <mergeCell ref="A5:F5"/>
    <mergeCell ref="A7:F7"/>
    <mergeCell ref="A4:F4"/>
    <mergeCell ref="A6:F6"/>
    <mergeCell ref="A8:F8"/>
    <mergeCell ref="A9:F9"/>
    <mergeCell ref="A21:F21"/>
    <mergeCell ref="A22:F22"/>
    <mergeCell ref="E17:F17"/>
    <mergeCell ref="E18:F18"/>
    <mergeCell ref="E19:F19"/>
  </mergeCells>
  <printOptions horizontalCentered="1"/>
  <pageMargins left="0.7" right="0.7" top="1.25" bottom="0.78" header="0.3" footer="0.3"/>
  <pageSetup orientation="portrait" r:id="rId1"/>
  <headerFooter>
    <oddHeader>&amp;C&amp;G
&amp;"Century Gothic,Regular"&amp;18&amp;K252260Creating Guiding Principles for Strategic Planning&amp;R&amp;"Century Gothic,Regular"&amp;8&amp;K252260Page &amp;P of &amp;N</oddHeader>
    <oddFooter>&amp;C&amp;"Century Gothic,Regular"&amp;9&amp;K252260Learn how our award-winning software can help you achieve your fundraising goals at DonorView.com.</oddFooter>
  </headerFooter>
  <rowBreaks count="3" manualBreakCount="3">
    <brk id="20" max="16383" man="1"/>
    <brk id="42" max="16383" man="1"/>
    <brk id="77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1BAF-8036-4BC5-8BF8-6D4B76B22582}">
  <dimension ref="A1:J328"/>
  <sheetViews>
    <sheetView topLeftCell="A312" zoomScale="120" zoomScaleNormal="120" workbookViewId="0">
      <selection activeCell="A288" sqref="A288:XFD288"/>
    </sheetView>
  </sheetViews>
  <sheetFormatPr defaultColWidth="8.85546875" defaultRowHeight="13.5" x14ac:dyDescent="0.25"/>
  <cols>
    <col min="1" max="10" width="9" style="73" customWidth="1"/>
    <col min="11" max="16384" width="8.85546875" style="73"/>
  </cols>
  <sheetData>
    <row r="1" spans="1:10" ht="30" customHeight="1" thickBot="1" x14ac:dyDescent="0.3">
      <c r="A1" s="211" t="s">
        <v>395</v>
      </c>
      <c r="B1" s="212"/>
      <c r="C1" s="212"/>
      <c r="D1" s="212"/>
      <c r="E1" s="212"/>
      <c r="F1" s="212"/>
      <c r="G1" s="212"/>
      <c r="H1" s="212"/>
      <c r="I1" s="212"/>
      <c r="J1" s="213"/>
    </row>
    <row r="2" spans="1:10" ht="24" customHeight="1" thickBot="1" x14ac:dyDescent="0.3">
      <c r="A2" s="322" t="s">
        <v>370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0" s="74" customFormat="1" ht="15" customHeight="1" x14ac:dyDescent="0.25">
      <c r="A3" s="61" t="s">
        <v>375</v>
      </c>
      <c r="B3" s="325"/>
      <c r="C3" s="325"/>
      <c r="D3" s="325"/>
      <c r="E3" s="325"/>
      <c r="F3" s="325"/>
      <c r="G3" s="325"/>
      <c r="H3" s="325"/>
      <c r="I3" s="325"/>
      <c r="J3" s="326"/>
    </row>
    <row r="4" spans="1:10" s="74" customFormat="1" ht="15" customHeight="1" x14ac:dyDescent="0.25">
      <c r="A4" s="82" t="s">
        <v>373</v>
      </c>
      <c r="B4" s="327"/>
      <c r="C4" s="327"/>
      <c r="D4" s="327"/>
      <c r="E4" s="327"/>
      <c r="F4" s="327"/>
      <c r="G4" s="327"/>
      <c r="H4" s="327"/>
      <c r="I4" s="327"/>
      <c r="J4" s="328"/>
    </row>
    <row r="5" spans="1:10" s="74" customFormat="1" ht="15" customHeight="1" x14ac:dyDescent="0.25">
      <c r="A5" s="82" t="s">
        <v>373</v>
      </c>
      <c r="B5" s="327"/>
      <c r="C5" s="327"/>
      <c r="D5" s="327"/>
      <c r="E5" s="327"/>
      <c r="F5" s="327"/>
      <c r="G5" s="327"/>
      <c r="H5" s="327"/>
      <c r="I5" s="327"/>
      <c r="J5" s="328"/>
    </row>
    <row r="6" spans="1:10" s="74" customFormat="1" ht="15" customHeight="1" x14ac:dyDescent="0.25">
      <c r="A6" s="82" t="s">
        <v>373</v>
      </c>
      <c r="B6" s="327"/>
      <c r="C6" s="327"/>
      <c r="D6" s="327"/>
      <c r="E6" s="327"/>
      <c r="F6" s="327"/>
      <c r="G6" s="327"/>
      <c r="H6" s="327"/>
      <c r="I6" s="327"/>
      <c r="J6" s="328"/>
    </row>
    <row r="7" spans="1:10" s="74" customFormat="1" ht="15" customHeight="1" x14ac:dyDescent="0.25">
      <c r="A7" s="82" t="s">
        <v>373</v>
      </c>
      <c r="B7" s="327"/>
      <c r="C7" s="327"/>
      <c r="D7" s="327"/>
      <c r="E7" s="327"/>
      <c r="F7" s="327"/>
      <c r="G7" s="327"/>
      <c r="H7" s="327"/>
      <c r="I7" s="327"/>
      <c r="J7" s="328"/>
    </row>
    <row r="8" spans="1:10" s="74" customFormat="1" ht="15" customHeight="1" x14ac:dyDescent="0.25">
      <c r="A8" s="82" t="s">
        <v>373</v>
      </c>
      <c r="B8" s="327"/>
      <c r="C8" s="327"/>
      <c r="D8" s="327"/>
      <c r="E8" s="327"/>
      <c r="F8" s="327"/>
      <c r="G8" s="327"/>
      <c r="H8" s="327"/>
      <c r="I8" s="327"/>
      <c r="J8" s="328"/>
    </row>
    <row r="9" spans="1:10" s="74" customFormat="1" ht="15" customHeight="1" x14ac:dyDescent="0.25">
      <c r="A9" s="60" t="s">
        <v>377</v>
      </c>
      <c r="B9" s="327"/>
      <c r="C9" s="327"/>
      <c r="D9" s="327"/>
      <c r="E9" s="327"/>
      <c r="F9" s="327"/>
      <c r="G9" s="327"/>
      <c r="H9" s="327"/>
      <c r="I9" s="327"/>
      <c r="J9" s="328"/>
    </row>
    <row r="10" spans="1:10" s="74" customFormat="1" ht="15" customHeight="1" x14ac:dyDescent="0.25">
      <c r="A10" s="332" t="s">
        <v>384</v>
      </c>
      <c r="B10" s="333"/>
      <c r="C10" s="333"/>
      <c r="D10" s="333"/>
      <c r="E10" s="333"/>
      <c r="F10" s="333"/>
      <c r="G10" s="333"/>
      <c r="H10" s="333"/>
      <c r="I10" s="333"/>
      <c r="J10" s="334"/>
    </row>
    <row r="11" spans="1:10" s="74" customFormat="1" ht="15" customHeight="1" x14ac:dyDescent="0.25">
      <c r="A11" s="329"/>
      <c r="B11" s="327"/>
      <c r="C11" s="327"/>
      <c r="D11" s="327"/>
      <c r="E11" s="327"/>
      <c r="F11" s="327"/>
      <c r="G11" s="327"/>
      <c r="H11" s="327"/>
      <c r="I11" s="327"/>
      <c r="J11" s="328"/>
    </row>
    <row r="12" spans="1:10" s="74" customFormat="1" ht="15" customHeight="1" x14ac:dyDescent="0.25">
      <c r="A12" s="329"/>
      <c r="B12" s="327"/>
      <c r="C12" s="327"/>
      <c r="D12" s="327"/>
      <c r="E12" s="327"/>
      <c r="F12" s="327"/>
      <c r="G12" s="327"/>
      <c r="H12" s="327"/>
      <c r="I12" s="327"/>
      <c r="J12" s="328"/>
    </row>
    <row r="13" spans="1:10" s="74" customFormat="1" ht="15" customHeight="1" x14ac:dyDescent="0.25">
      <c r="A13" s="329"/>
      <c r="B13" s="327"/>
      <c r="C13" s="327"/>
      <c r="D13" s="327"/>
      <c r="E13" s="327"/>
      <c r="F13" s="327"/>
      <c r="G13" s="327"/>
      <c r="H13" s="327"/>
      <c r="I13" s="327"/>
      <c r="J13" s="328"/>
    </row>
    <row r="14" spans="1:10" s="74" customFormat="1" ht="15" customHeight="1" x14ac:dyDescent="0.25">
      <c r="A14" s="335" t="s">
        <v>389</v>
      </c>
      <c r="B14" s="336"/>
      <c r="C14" s="336" t="s">
        <v>390</v>
      </c>
      <c r="D14" s="336"/>
      <c r="E14" s="336" t="s">
        <v>356</v>
      </c>
      <c r="F14" s="336"/>
      <c r="G14" s="336" t="s">
        <v>371</v>
      </c>
      <c r="H14" s="336"/>
      <c r="I14" s="336" t="s">
        <v>391</v>
      </c>
      <c r="J14" s="337"/>
    </row>
    <row r="15" spans="1:10" s="74" customFormat="1" ht="15" customHeight="1" thickBot="1" x14ac:dyDescent="0.3">
      <c r="A15" s="330"/>
      <c r="B15" s="331"/>
      <c r="C15" s="331"/>
      <c r="D15" s="331"/>
      <c r="E15" s="331"/>
      <c r="F15" s="331"/>
      <c r="G15" s="331"/>
      <c r="H15" s="331"/>
      <c r="I15" s="345">
        <f>SUM(A15:H15)</f>
        <v>0</v>
      </c>
      <c r="J15" s="346"/>
    </row>
    <row r="16" spans="1:10" s="74" customFormat="1" ht="15" customHeight="1" x14ac:dyDescent="0.25">
      <c r="A16" s="61" t="s">
        <v>374</v>
      </c>
      <c r="B16" s="325"/>
      <c r="C16" s="325"/>
      <c r="D16" s="325"/>
      <c r="E16" s="325"/>
      <c r="F16" s="325"/>
      <c r="G16" s="325"/>
      <c r="H16" s="325"/>
      <c r="I16" s="325"/>
      <c r="J16" s="326"/>
    </row>
    <row r="17" spans="1:10" s="74" customFormat="1" ht="15" customHeight="1" x14ac:dyDescent="0.25">
      <c r="A17" s="82" t="s">
        <v>373</v>
      </c>
      <c r="B17" s="327"/>
      <c r="C17" s="327"/>
      <c r="D17" s="327"/>
      <c r="E17" s="327"/>
      <c r="F17" s="327"/>
      <c r="G17" s="327"/>
      <c r="H17" s="327"/>
      <c r="I17" s="327"/>
      <c r="J17" s="328"/>
    </row>
    <row r="18" spans="1:10" s="74" customFormat="1" ht="15" customHeight="1" x14ac:dyDescent="0.25">
      <c r="A18" s="82" t="s">
        <v>373</v>
      </c>
      <c r="B18" s="327"/>
      <c r="C18" s="327"/>
      <c r="D18" s="327"/>
      <c r="E18" s="327"/>
      <c r="F18" s="327"/>
      <c r="G18" s="327"/>
      <c r="H18" s="327"/>
      <c r="I18" s="327"/>
      <c r="J18" s="328"/>
    </row>
    <row r="19" spans="1:10" s="74" customFormat="1" ht="15" customHeight="1" x14ac:dyDescent="0.25">
      <c r="A19" s="82" t="s">
        <v>373</v>
      </c>
      <c r="B19" s="327"/>
      <c r="C19" s="327"/>
      <c r="D19" s="327"/>
      <c r="E19" s="327"/>
      <c r="F19" s="327"/>
      <c r="G19" s="327"/>
      <c r="H19" s="327"/>
      <c r="I19" s="327"/>
      <c r="J19" s="328"/>
    </row>
    <row r="20" spans="1:10" s="74" customFormat="1" ht="15" customHeight="1" x14ac:dyDescent="0.25">
      <c r="A20" s="82" t="s">
        <v>373</v>
      </c>
      <c r="B20" s="327"/>
      <c r="C20" s="327"/>
      <c r="D20" s="327"/>
      <c r="E20" s="327"/>
      <c r="F20" s="327"/>
      <c r="G20" s="327"/>
      <c r="H20" s="327"/>
      <c r="I20" s="327"/>
      <c r="J20" s="328"/>
    </row>
    <row r="21" spans="1:10" s="74" customFormat="1" ht="15" customHeight="1" x14ac:dyDescent="0.25">
      <c r="A21" s="82" t="s">
        <v>373</v>
      </c>
      <c r="B21" s="327"/>
      <c r="C21" s="327"/>
      <c r="D21" s="327"/>
      <c r="E21" s="327"/>
      <c r="F21" s="327"/>
      <c r="G21" s="327"/>
      <c r="H21" s="327"/>
      <c r="I21" s="327"/>
      <c r="J21" s="328"/>
    </row>
    <row r="22" spans="1:10" s="74" customFormat="1" ht="15" customHeight="1" x14ac:dyDescent="0.25">
      <c r="A22" s="60" t="s">
        <v>385</v>
      </c>
      <c r="B22" s="327"/>
      <c r="C22" s="327"/>
      <c r="D22" s="327"/>
      <c r="E22" s="327"/>
      <c r="F22" s="327"/>
      <c r="G22" s="327"/>
      <c r="H22" s="327"/>
      <c r="I22" s="327"/>
      <c r="J22" s="328"/>
    </row>
    <row r="23" spans="1:10" s="74" customFormat="1" ht="15" customHeight="1" x14ac:dyDescent="0.25">
      <c r="A23" s="332" t="s">
        <v>384</v>
      </c>
      <c r="B23" s="333"/>
      <c r="C23" s="333"/>
      <c r="D23" s="333"/>
      <c r="E23" s="333"/>
      <c r="F23" s="333"/>
      <c r="G23" s="333"/>
      <c r="H23" s="333"/>
      <c r="I23" s="333"/>
      <c r="J23" s="334"/>
    </row>
    <row r="24" spans="1:10" s="74" customFormat="1" ht="15" customHeight="1" x14ac:dyDescent="0.25">
      <c r="A24" s="329"/>
      <c r="B24" s="327"/>
      <c r="C24" s="327"/>
      <c r="D24" s="327"/>
      <c r="E24" s="327"/>
      <c r="F24" s="327"/>
      <c r="G24" s="327"/>
      <c r="H24" s="327"/>
      <c r="I24" s="327"/>
      <c r="J24" s="328"/>
    </row>
    <row r="25" spans="1:10" s="74" customFormat="1" ht="15" customHeight="1" x14ac:dyDescent="0.25">
      <c r="A25" s="329"/>
      <c r="B25" s="327"/>
      <c r="C25" s="327"/>
      <c r="D25" s="327"/>
      <c r="E25" s="327"/>
      <c r="F25" s="327"/>
      <c r="G25" s="327"/>
      <c r="H25" s="327"/>
      <c r="I25" s="327"/>
      <c r="J25" s="328"/>
    </row>
    <row r="26" spans="1:10" s="74" customFormat="1" ht="15" customHeight="1" x14ac:dyDescent="0.25">
      <c r="A26" s="329"/>
      <c r="B26" s="327"/>
      <c r="C26" s="327"/>
      <c r="D26" s="327"/>
      <c r="E26" s="327"/>
      <c r="F26" s="327"/>
      <c r="G26" s="327"/>
      <c r="H26" s="327"/>
      <c r="I26" s="327"/>
      <c r="J26" s="328"/>
    </row>
    <row r="27" spans="1:10" s="74" customFormat="1" ht="15" customHeight="1" x14ac:dyDescent="0.25">
      <c r="A27" s="335" t="s">
        <v>389</v>
      </c>
      <c r="B27" s="336"/>
      <c r="C27" s="336" t="s">
        <v>390</v>
      </c>
      <c r="D27" s="336"/>
      <c r="E27" s="336" t="s">
        <v>356</v>
      </c>
      <c r="F27" s="336"/>
      <c r="G27" s="336" t="s">
        <v>371</v>
      </c>
      <c r="H27" s="336"/>
      <c r="I27" s="336" t="s">
        <v>391</v>
      </c>
      <c r="J27" s="337"/>
    </row>
    <row r="28" spans="1:10" s="74" customFormat="1" ht="15" customHeight="1" thickBot="1" x14ac:dyDescent="0.3">
      <c r="A28" s="330"/>
      <c r="B28" s="331"/>
      <c r="C28" s="331"/>
      <c r="D28" s="331"/>
      <c r="E28" s="331"/>
      <c r="F28" s="331"/>
      <c r="G28" s="331"/>
      <c r="H28" s="331"/>
      <c r="I28" s="331">
        <f>SUM(A28:H28)</f>
        <v>0</v>
      </c>
      <c r="J28" s="338"/>
    </row>
    <row r="29" spans="1:10" s="74" customFormat="1" ht="15" customHeight="1" x14ac:dyDescent="0.25">
      <c r="A29" s="61" t="s">
        <v>378</v>
      </c>
      <c r="B29" s="325"/>
      <c r="C29" s="325"/>
      <c r="D29" s="325"/>
      <c r="E29" s="325"/>
      <c r="F29" s="325"/>
      <c r="G29" s="325"/>
      <c r="H29" s="325"/>
      <c r="I29" s="325"/>
      <c r="J29" s="326"/>
    </row>
    <row r="30" spans="1:10" s="74" customFormat="1" ht="15" customHeight="1" x14ac:dyDescent="0.25">
      <c r="A30" s="82" t="s">
        <v>373</v>
      </c>
      <c r="B30" s="327"/>
      <c r="C30" s="327"/>
      <c r="D30" s="327"/>
      <c r="E30" s="327"/>
      <c r="F30" s="327"/>
      <c r="G30" s="327"/>
      <c r="H30" s="327"/>
      <c r="I30" s="327"/>
      <c r="J30" s="328"/>
    </row>
    <row r="31" spans="1:10" s="74" customFormat="1" ht="15" customHeight="1" x14ac:dyDescent="0.25">
      <c r="A31" s="82" t="s">
        <v>373</v>
      </c>
      <c r="B31" s="327"/>
      <c r="C31" s="327"/>
      <c r="D31" s="327"/>
      <c r="E31" s="327"/>
      <c r="F31" s="327"/>
      <c r="G31" s="327"/>
      <c r="H31" s="327"/>
      <c r="I31" s="327"/>
      <c r="J31" s="328"/>
    </row>
    <row r="32" spans="1:10" s="74" customFormat="1" ht="15" customHeight="1" x14ac:dyDescent="0.25">
      <c r="A32" s="82" t="s">
        <v>373</v>
      </c>
      <c r="B32" s="327"/>
      <c r="C32" s="327"/>
      <c r="D32" s="327"/>
      <c r="E32" s="327"/>
      <c r="F32" s="327"/>
      <c r="G32" s="327"/>
      <c r="H32" s="327"/>
      <c r="I32" s="327"/>
      <c r="J32" s="328"/>
    </row>
    <row r="33" spans="1:10" s="74" customFormat="1" ht="15" customHeight="1" x14ac:dyDescent="0.25">
      <c r="A33" s="82" t="s">
        <v>373</v>
      </c>
      <c r="B33" s="327"/>
      <c r="C33" s="327"/>
      <c r="D33" s="327"/>
      <c r="E33" s="327"/>
      <c r="F33" s="327"/>
      <c r="G33" s="327"/>
      <c r="H33" s="327"/>
      <c r="I33" s="327"/>
      <c r="J33" s="328"/>
    </row>
    <row r="34" spans="1:10" s="74" customFormat="1" ht="15" customHeight="1" x14ac:dyDescent="0.25">
      <c r="A34" s="82" t="s">
        <v>373</v>
      </c>
      <c r="B34" s="327"/>
      <c r="C34" s="327"/>
      <c r="D34" s="327"/>
      <c r="E34" s="327"/>
      <c r="F34" s="327"/>
      <c r="G34" s="327"/>
      <c r="H34" s="327"/>
      <c r="I34" s="327"/>
      <c r="J34" s="328"/>
    </row>
    <row r="35" spans="1:10" s="74" customFormat="1" ht="15" customHeight="1" x14ac:dyDescent="0.25">
      <c r="A35" s="60" t="s">
        <v>386</v>
      </c>
      <c r="B35" s="327"/>
      <c r="C35" s="327"/>
      <c r="D35" s="327"/>
      <c r="E35" s="327"/>
      <c r="F35" s="327"/>
      <c r="G35" s="327"/>
      <c r="H35" s="327"/>
      <c r="I35" s="327"/>
      <c r="J35" s="328"/>
    </row>
    <row r="36" spans="1:10" s="74" customFormat="1" ht="15" customHeight="1" x14ac:dyDescent="0.25">
      <c r="A36" s="332" t="s">
        <v>384</v>
      </c>
      <c r="B36" s="333"/>
      <c r="C36" s="333"/>
      <c r="D36" s="333"/>
      <c r="E36" s="333"/>
      <c r="F36" s="333"/>
      <c r="G36" s="333"/>
      <c r="H36" s="333"/>
      <c r="I36" s="333"/>
      <c r="J36" s="334"/>
    </row>
    <row r="37" spans="1:10" s="74" customFormat="1" ht="15" customHeight="1" x14ac:dyDescent="0.25">
      <c r="A37" s="329"/>
      <c r="B37" s="327"/>
      <c r="C37" s="327"/>
      <c r="D37" s="327"/>
      <c r="E37" s="327"/>
      <c r="F37" s="327"/>
      <c r="G37" s="327"/>
      <c r="H37" s="327"/>
      <c r="I37" s="327"/>
      <c r="J37" s="328"/>
    </row>
    <row r="38" spans="1:10" s="74" customFormat="1" ht="15" customHeight="1" x14ac:dyDescent="0.25">
      <c r="A38" s="329"/>
      <c r="B38" s="327"/>
      <c r="C38" s="327"/>
      <c r="D38" s="327"/>
      <c r="E38" s="327"/>
      <c r="F38" s="327"/>
      <c r="G38" s="327"/>
      <c r="H38" s="327"/>
      <c r="I38" s="327"/>
      <c r="J38" s="328"/>
    </row>
    <row r="39" spans="1:10" ht="15" customHeight="1" x14ac:dyDescent="0.25">
      <c r="A39" s="329"/>
      <c r="B39" s="327"/>
      <c r="C39" s="327"/>
      <c r="D39" s="327"/>
      <c r="E39" s="327"/>
      <c r="F39" s="327"/>
      <c r="G39" s="327"/>
      <c r="H39" s="327"/>
      <c r="I39" s="327"/>
      <c r="J39" s="328"/>
    </row>
    <row r="40" spans="1:10" ht="15" customHeight="1" x14ac:dyDescent="0.25">
      <c r="A40" s="335" t="s">
        <v>389</v>
      </c>
      <c r="B40" s="336"/>
      <c r="C40" s="336" t="s">
        <v>390</v>
      </c>
      <c r="D40" s="336"/>
      <c r="E40" s="336" t="s">
        <v>356</v>
      </c>
      <c r="F40" s="336"/>
      <c r="G40" s="336" t="s">
        <v>371</v>
      </c>
      <c r="H40" s="336"/>
      <c r="I40" s="336" t="s">
        <v>391</v>
      </c>
      <c r="J40" s="337"/>
    </row>
    <row r="41" spans="1:10" s="74" customFormat="1" ht="15" customHeight="1" thickBot="1" x14ac:dyDescent="0.3">
      <c r="A41" s="330"/>
      <c r="B41" s="331"/>
      <c r="C41" s="331"/>
      <c r="D41" s="331"/>
      <c r="E41" s="331"/>
      <c r="F41" s="331"/>
      <c r="G41" s="331"/>
      <c r="H41" s="331"/>
      <c r="I41" s="331">
        <f>SUM(A41:H41)</f>
        <v>0</v>
      </c>
      <c r="J41" s="338"/>
    </row>
    <row r="42" spans="1:10" s="74" customFormat="1" ht="30" customHeight="1" x14ac:dyDescent="0.25">
      <c r="A42" s="339" t="s">
        <v>395</v>
      </c>
      <c r="B42" s="340"/>
      <c r="C42" s="340"/>
      <c r="D42" s="340"/>
      <c r="E42" s="340"/>
      <c r="F42" s="340"/>
      <c r="G42" s="340"/>
      <c r="H42" s="340"/>
      <c r="I42" s="340"/>
      <c r="J42" s="341"/>
    </row>
    <row r="43" spans="1:10" s="74" customFormat="1" ht="24" customHeight="1" thickBot="1" x14ac:dyDescent="0.3">
      <c r="A43" s="342" t="s">
        <v>370</v>
      </c>
      <c r="B43" s="343"/>
      <c r="C43" s="343"/>
      <c r="D43" s="343"/>
      <c r="E43" s="343"/>
      <c r="F43" s="343"/>
      <c r="G43" s="343"/>
      <c r="H43" s="343"/>
      <c r="I43" s="343"/>
      <c r="J43" s="344"/>
    </row>
    <row r="44" spans="1:10" s="74" customFormat="1" ht="15" customHeight="1" x14ac:dyDescent="0.25">
      <c r="A44" s="61" t="s">
        <v>380</v>
      </c>
      <c r="B44" s="325"/>
      <c r="C44" s="325"/>
      <c r="D44" s="325"/>
      <c r="E44" s="325"/>
      <c r="F44" s="325"/>
      <c r="G44" s="325"/>
      <c r="H44" s="325"/>
      <c r="I44" s="325"/>
      <c r="J44" s="326"/>
    </row>
    <row r="45" spans="1:10" s="74" customFormat="1" ht="15" customHeight="1" x14ac:dyDescent="0.25">
      <c r="A45" s="82" t="s">
        <v>373</v>
      </c>
      <c r="B45" s="327"/>
      <c r="C45" s="327"/>
      <c r="D45" s="327"/>
      <c r="E45" s="327"/>
      <c r="F45" s="327"/>
      <c r="G45" s="327"/>
      <c r="H45" s="327"/>
      <c r="I45" s="327"/>
      <c r="J45" s="328"/>
    </row>
    <row r="46" spans="1:10" s="74" customFormat="1" ht="15" customHeight="1" x14ac:dyDescent="0.25">
      <c r="A46" s="82" t="s">
        <v>373</v>
      </c>
      <c r="B46" s="327"/>
      <c r="C46" s="327"/>
      <c r="D46" s="327"/>
      <c r="E46" s="327"/>
      <c r="F46" s="327"/>
      <c r="G46" s="327"/>
      <c r="H46" s="327"/>
      <c r="I46" s="327"/>
      <c r="J46" s="328"/>
    </row>
    <row r="47" spans="1:10" s="74" customFormat="1" ht="15" customHeight="1" x14ac:dyDescent="0.25">
      <c r="A47" s="82" t="s">
        <v>373</v>
      </c>
      <c r="B47" s="327"/>
      <c r="C47" s="327"/>
      <c r="D47" s="327"/>
      <c r="E47" s="327"/>
      <c r="F47" s="327"/>
      <c r="G47" s="327"/>
      <c r="H47" s="327"/>
      <c r="I47" s="327"/>
      <c r="J47" s="328"/>
    </row>
    <row r="48" spans="1:10" s="74" customFormat="1" ht="15" customHeight="1" x14ac:dyDescent="0.25">
      <c r="A48" s="82" t="s">
        <v>373</v>
      </c>
      <c r="B48" s="327"/>
      <c r="C48" s="327"/>
      <c r="D48" s="327"/>
      <c r="E48" s="327"/>
      <c r="F48" s="327"/>
      <c r="G48" s="327"/>
      <c r="H48" s="327"/>
      <c r="I48" s="327"/>
      <c r="J48" s="328"/>
    </row>
    <row r="49" spans="1:10" s="74" customFormat="1" ht="15" customHeight="1" x14ac:dyDescent="0.25">
      <c r="A49" s="82" t="s">
        <v>373</v>
      </c>
      <c r="B49" s="327"/>
      <c r="C49" s="327"/>
      <c r="D49" s="327"/>
      <c r="E49" s="327"/>
      <c r="F49" s="327"/>
      <c r="G49" s="327"/>
      <c r="H49" s="327"/>
      <c r="I49" s="327"/>
      <c r="J49" s="328"/>
    </row>
    <row r="50" spans="1:10" s="74" customFormat="1" ht="15" customHeight="1" x14ac:dyDescent="0.25">
      <c r="A50" s="60" t="s">
        <v>392</v>
      </c>
      <c r="B50" s="327"/>
      <c r="C50" s="327"/>
      <c r="D50" s="327"/>
      <c r="E50" s="327"/>
      <c r="F50" s="327"/>
      <c r="G50" s="327"/>
      <c r="H50" s="327"/>
      <c r="I50" s="327"/>
      <c r="J50" s="328"/>
    </row>
    <row r="51" spans="1:10" s="74" customFormat="1" ht="15" customHeight="1" x14ac:dyDescent="0.25">
      <c r="A51" s="332" t="s">
        <v>384</v>
      </c>
      <c r="B51" s="333"/>
      <c r="C51" s="333"/>
      <c r="D51" s="333"/>
      <c r="E51" s="333"/>
      <c r="F51" s="333"/>
      <c r="G51" s="333"/>
      <c r="H51" s="333"/>
      <c r="I51" s="333"/>
      <c r="J51" s="334"/>
    </row>
    <row r="52" spans="1:10" s="74" customFormat="1" ht="15" customHeight="1" x14ac:dyDescent="0.25">
      <c r="A52" s="329"/>
      <c r="B52" s="327"/>
      <c r="C52" s="327"/>
      <c r="D52" s="327"/>
      <c r="E52" s="327"/>
      <c r="F52" s="327"/>
      <c r="G52" s="327"/>
      <c r="H52" s="327"/>
      <c r="I52" s="327"/>
      <c r="J52" s="328"/>
    </row>
    <row r="53" spans="1:10" s="74" customFormat="1" ht="15" customHeight="1" x14ac:dyDescent="0.25">
      <c r="A53" s="329"/>
      <c r="B53" s="327"/>
      <c r="C53" s="327"/>
      <c r="D53" s="327"/>
      <c r="E53" s="327"/>
      <c r="F53" s="327"/>
      <c r="G53" s="327"/>
      <c r="H53" s="327"/>
      <c r="I53" s="327"/>
      <c r="J53" s="328"/>
    </row>
    <row r="54" spans="1:10" s="74" customFormat="1" ht="15" customHeight="1" x14ac:dyDescent="0.25">
      <c r="A54" s="329"/>
      <c r="B54" s="327"/>
      <c r="C54" s="327"/>
      <c r="D54" s="327"/>
      <c r="E54" s="327"/>
      <c r="F54" s="327"/>
      <c r="G54" s="327"/>
      <c r="H54" s="327"/>
      <c r="I54" s="327"/>
      <c r="J54" s="328"/>
    </row>
    <row r="55" spans="1:10" s="74" customFormat="1" ht="15" customHeight="1" x14ac:dyDescent="0.25">
      <c r="A55" s="335" t="s">
        <v>389</v>
      </c>
      <c r="B55" s="336"/>
      <c r="C55" s="336" t="s">
        <v>390</v>
      </c>
      <c r="D55" s="336"/>
      <c r="E55" s="336" t="s">
        <v>356</v>
      </c>
      <c r="F55" s="336"/>
      <c r="G55" s="336" t="s">
        <v>371</v>
      </c>
      <c r="H55" s="336"/>
      <c r="I55" s="336" t="s">
        <v>391</v>
      </c>
      <c r="J55" s="337"/>
    </row>
    <row r="56" spans="1:10" s="74" customFormat="1" ht="15" customHeight="1" thickBot="1" x14ac:dyDescent="0.3">
      <c r="A56" s="330"/>
      <c r="B56" s="331"/>
      <c r="C56" s="331"/>
      <c r="D56" s="331"/>
      <c r="E56" s="331"/>
      <c r="F56" s="331"/>
      <c r="G56" s="331"/>
      <c r="H56" s="331"/>
      <c r="I56" s="331">
        <f>SUM(A56:H56)</f>
        <v>0</v>
      </c>
      <c r="J56" s="338"/>
    </row>
    <row r="57" spans="1:10" s="74" customFormat="1" ht="15" customHeight="1" x14ac:dyDescent="0.25">
      <c r="A57" s="61" t="s">
        <v>382</v>
      </c>
      <c r="B57" s="325"/>
      <c r="C57" s="325"/>
      <c r="D57" s="325"/>
      <c r="E57" s="325"/>
      <c r="F57" s="325"/>
      <c r="G57" s="325"/>
      <c r="H57" s="325"/>
      <c r="I57" s="325"/>
      <c r="J57" s="326"/>
    </row>
    <row r="58" spans="1:10" s="74" customFormat="1" ht="15" customHeight="1" x14ac:dyDescent="0.25">
      <c r="A58" s="82" t="s">
        <v>373</v>
      </c>
      <c r="B58" s="327"/>
      <c r="C58" s="327"/>
      <c r="D58" s="327"/>
      <c r="E58" s="327"/>
      <c r="F58" s="327"/>
      <c r="G58" s="327"/>
      <c r="H58" s="327"/>
      <c r="I58" s="327"/>
      <c r="J58" s="328"/>
    </row>
    <row r="59" spans="1:10" s="74" customFormat="1" ht="15" customHeight="1" x14ac:dyDescent="0.25">
      <c r="A59" s="82" t="s">
        <v>373</v>
      </c>
      <c r="B59" s="327"/>
      <c r="C59" s="327"/>
      <c r="D59" s="327"/>
      <c r="E59" s="327"/>
      <c r="F59" s="327"/>
      <c r="G59" s="327"/>
      <c r="H59" s="327"/>
      <c r="I59" s="327"/>
      <c r="J59" s="328"/>
    </row>
    <row r="60" spans="1:10" s="74" customFormat="1" ht="15" customHeight="1" x14ac:dyDescent="0.25">
      <c r="A60" s="82" t="s">
        <v>373</v>
      </c>
      <c r="B60" s="327"/>
      <c r="C60" s="327"/>
      <c r="D60" s="327"/>
      <c r="E60" s="327"/>
      <c r="F60" s="327"/>
      <c r="G60" s="327"/>
      <c r="H60" s="327"/>
      <c r="I60" s="327"/>
      <c r="J60" s="328"/>
    </row>
    <row r="61" spans="1:10" s="74" customFormat="1" ht="15" customHeight="1" x14ac:dyDescent="0.25">
      <c r="A61" s="82" t="s">
        <v>373</v>
      </c>
      <c r="B61" s="327"/>
      <c r="C61" s="327"/>
      <c r="D61" s="327"/>
      <c r="E61" s="327"/>
      <c r="F61" s="327"/>
      <c r="G61" s="327"/>
      <c r="H61" s="327"/>
      <c r="I61" s="327"/>
      <c r="J61" s="328"/>
    </row>
    <row r="62" spans="1:10" s="74" customFormat="1" ht="15" customHeight="1" x14ac:dyDescent="0.25">
      <c r="A62" s="82" t="s">
        <v>373</v>
      </c>
      <c r="B62" s="327"/>
      <c r="C62" s="327"/>
      <c r="D62" s="327"/>
      <c r="E62" s="327"/>
      <c r="F62" s="327"/>
      <c r="G62" s="327"/>
      <c r="H62" s="327"/>
      <c r="I62" s="327"/>
      <c r="J62" s="328"/>
    </row>
    <row r="63" spans="1:10" s="74" customFormat="1" ht="15" customHeight="1" x14ac:dyDescent="0.25">
      <c r="A63" s="60" t="s">
        <v>383</v>
      </c>
      <c r="B63" s="327"/>
      <c r="C63" s="327"/>
      <c r="D63" s="327"/>
      <c r="E63" s="327"/>
      <c r="F63" s="327"/>
      <c r="G63" s="327"/>
      <c r="H63" s="327"/>
      <c r="I63" s="327"/>
      <c r="J63" s="328"/>
    </row>
    <row r="64" spans="1:10" s="74" customFormat="1" ht="15" customHeight="1" x14ac:dyDescent="0.25">
      <c r="A64" s="332" t="s">
        <v>384</v>
      </c>
      <c r="B64" s="333"/>
      <c r="C64" s="333"/>
      <c r="D64" s="333"/>
      <c r="E64" s="333"/>
      <c r="F64" s="333"/>
      <c r="G64" s="333"/>
      <c r="H64" s="333"/>
      <c r="I64" s="333"/>
      <c r="J64" s="334"/>
    </row>
    <row r="65" spans="1:10" s="74" customFormat="1" ht="15" customHeight="1" x14ac:dyDescent="0.25">
      <c r="A65" s="329"/>
      <c r="B65" s="327"/>
      <c r="C65" s="327"/>
      <c r="D65" s="327"/>
      <c r="E65" s="327"/>
      <c r="F65" s="327"/>
      <c r="G65" s="327"/>
      <c r="H65" s="327"/>
      <c r="I65" s="327"/>
      <c r="J65" s="328"/>
    </row>
    <row r="66" spans="1:10" s="74" customFormat="1" ht="15" customHeight="1" x14ac:dyDescent="0.25">
      <c r="A66" s="329"/>
      <c r="B66" s="327"/>
      <c r="C66" s="327"/>
      <c r="D66" s="327"/>
      <c r="E66" s="327"/>
      <c r="F66" s="327"/>
      <c r="G66" s="327"/>
      <c r="H66" s="327"/>
      <c r="I66" s="327"/>
      <c r="J66" s="328"/>
    </row>
    <row r="67" spans="1:10" s="74" customFormat="1" ht="15" customHeight="1" x14ac:dyDescent="0.25">
      <c r="A67" s="329"/>
      <c r="B67" s="327"/>
      <c r="C67" s="327"/>
      <c r="D67" s="327"/>
      <c r="E67" s="327"/>
      <c r="F67" s="327"/>
      <c r="G67" s="327"/>
      <c r="H67" s="327"/>
      <c r="I67" s="327"/>
      <c r="J67" s="328"/>
    </row>
    <row r="68" spans="1:10" s="74" customFormat="1" ht="15" customHeight="1" x14ac:dyDescent="0.25">
      <c r="A68" s="335" t="s">
        <v>389</v>
      </c>
      <c r="B68" s="336"/>
      <c r="C68" s="336" t="s">
        <v>390</v>
      </c>
      <c r="D68" s="336"/>
      <c r="E68" s="336" t="s">
        <v>356</v>
      </c>
      <c r="F68" s="336"/>
      <c r="G68" s="336" t="s">
        <v>371</v>
      </c>
      <c r="H68" s="336"/>
      <c r="I68" s="336" t="s">
        <v>391</v>
      </c>
      <c r="J68" s="337"/>
    </row>
    <row r="69" spans="1:10" s="74" customFormat="1" ht="15" customHeight="1" thickBot="1" x14ac:dyDescent="0.3">
      <c r="A69" s="330"/>
      <c r="B69" s="331"/>
      <c r="C69" s="331"/>
      <c r="D69" s="331"/>
      <c r="E69" s="331"/>
      <c r="F69" s="331"/>
      <c r="G69" s="331"/>
      <c r="H69" s="331"/>
      <c r="I69" s="331">
        <f>SUM(A69:H69)</f>
        <v>0</v>
      </c>
      <c r="J69" s="338"/>
    </row>
    <row r="70" spans="1:10" s="74" customFormat="1" ht="15" customHeight="1" x14ac:dyDescent="0.25">
      <c r="A70" s="61" t="s">
        <v>387</v>
      </c>
      <c r="B70" s="325"/>
      <c r="C70" s="325"/>
      <c r="D70" s="325"/>
      <c r="E70" s="325"/>
      <c r="F70" s="325"/>
      <c r="G70" s="325"/>
      <c r="H70" s="325"/>
      <c r="I70" s="325"/>
      <c r="J70" s="326"/>
    </row>
    <row r="71" spans="1:10" s="74" customFormat="1" ht="15" customHeight="1" x14ac:dyDescent="0.25">
      <c r="A71" s="82" t="s">
        <v>373</v>
      </c>
      <c r="B71" s="327"/>
      <c r="C71" s="327"/>
      <c r="D71" s="327"/>
      <c r="E71" s="327"/>
      <c r="F71" s="327"/>
      <c r="G71" s="327"/>
      <c r="H71" s="327"/>
      <c r="I71" s="327"/>
      <c r="J71" s="328"/>
    </row>
    <row r="72" spans="1:10" s="74" customFormat="1" ht="15" customHeight="1" x14ac:dyDescent="0.25">
      <c r="A72" s="82" t="s">
        <v>373</v>
      </c>
      <c r="B72" s="327"/>
      <c r="C72" s="327"/>
      <c r="D72" s="327"/>
      <c r="E72" s="327"/>
      <c r="F72" s="327"/>
      <c r="G72" s="327"/>
      <c r="H72" s="327"/>
      <c r="I72" s="327"/>
      <c r="J72" s="328"/>
    </row>
    <row r="73" spans="1:10" s="74" customFormat="1" ht="15" customHeight="1" x14ac:dyDescent="0.25">
      <c r="A73" s="82" t="s">
        <v>373</v>
      </c>
      <c r="B73" s="327"/>
      <c r="C73" s="327"/>
      <c r="D73" s="327"/>
      <c r="E73" s="327"/>
      <c r="F73" s="327"/>
      <c r="G73" s="327"/>
      <c r="H73" s="327"/>
      <c r="I73" s="327"/>
      <c r="J73" s="328"/>
    </row>
    <row r="74" spans="1:10" s="74" customFormat="1" ht="15" customHeight="1" x14ac:dyDescent="0.25">
      <c r="A74" s="82" t="s">
        <v>373</v>
      </c>
      <c r="B74" s="327"/>
      <c r="C74" s="327"/>
      <c r="D74" s="327"/>
      <c r="E74" s="327"/>
      <c r="F74" s="327"/>
      <c r="G74" s="327"/>
      <c r="H74" s="327"/>
      <c r="I74" s="327"/>
      <c r="J74" s="328"/>
    </row>
    <row r="75" spans="1:10" s="74" customFormat="1" ht="15" customHeight="1" x14ac:dyDescent="0.25">
      <c r="A75" s="82" t="s">
        <v>373</v>
      </c>
      <c r="B75" s="327"/>
      <c r="C75" s="327"/>
      <c r="D75" s="327"/>
      <c r="E75" s="327"/>
      <c r="F75" s="327"/>
      <c r="G75" s="327"/>
      <c r="H75" s="327"/>
      <c r="I75" s="327"/>
      <c r="J75" s="328"/>
    </row>
    <row r="76" spans="1:10" s="74" customFormat="1" ht="15" customHeight="1" x14ac:dyDescent="0.25">
      <c r="A76" s="60" t="s">
        <v>388</v>
      </c>
      <c r="B76" s="327"/>
      <c r="C76" s="327"/>
      <c r="D76" s="327"/>
      <c r="E76" s="327"/>
      <c r="F76" s="327"/>
      <c r="G76" s="327"/>
      <c r="H76" s="327"/>
      <c r="I76" s="327"/>
      <c r="J76" s="328"/>
    </row>
    <row r="77" spans="1:10" s="74" customFormat="1" ht="15" customHeight="1" x14ac:dyDescent="0.25">
      <c r="A77" s="332" t="s">
        <v>384</v>
      </c>
      <c r="B77" s="333"/>
      <c r="C77" s="333"/>
      <c r="D77" s="333"/>
      <c r="E77" s="333"/>
      <c r="F77" s="333"/>
      <c r="G77" s="333"/>
      <c r="H77" s="333"/>
      <c r="I77" s="333"/>
      <c r="J77" s="334"/>
    </row>
    <row r="78" spans="1:10" s="74" customFormat="1" ht="15" customHeight="1" x14ac:dyDescent="0.25">
      <c r="A78" s="329"/>
      <c r="B78" s="327"/>
      <c r="C78" s="327"/>
      <c r="D78" s="327"/>
      <c r="E78" s="327"/>
      <c r="F78" s="327"/>
      <c r="G78" s="327"/>
      <c r="H78" s="327"/>
      <c r="I78" s="327"/>
      <c r="J78" s="328"/>
    </row>
    <row r="79" spans="1:10" s="74" customFormat="1" ht="15" customHeight="1" x14ac:dyDescent="0.25">
      <c r="A79" s="329"/>
      <c r="B79" s="327"/>
      <c r="C79" s="327"/>
      <c r="D79" s="327"/>
      <c r="E79" s="327"/>
      <c r="F79" s="327"/>
      <c r="G79" s="327"/>
      <c r="H79" s="327"/>
      <c r="I79" s="327"/>
      <c r="J79" s="328"/>
    </row>
    <row r="80" spans="1:10" ht="15" customHeight="1" x14ac:dyDescent="0.25">
      <c r="A80" s="329"/>
      <c r="B80" s="327"/>
      <c r="C80" s="327"/>
      <c r="D80" s="327"/>
      <c r="E80" s="327"/>
      <c r="F80" s="327"/>
      <c r="G80" s="327"/>
      <c r="H80" s="327"/>
      <c r="I80" s="327"/>
      <c r="J80" s="328"/>
    </row>
    <row r="81" spans="1:10" ht="15" customHeight="1" x14ac:dyDescent="0.25">
      <c r="A81" s="335" t="s">
        <v>389</v>
      </c>
      <c r="B81" s="336"/>
      <c r="C81" s="336" t="s">
        <v>390</v>
      </c>
      <c r="D81" s="336"/>
      <c r="E81" s="336" t="s">
        <v>356</v>
      </c>
      <c r="F81" s="336"/>
      <c r="G81" s="336" t="s">
        <v>371</v>
      </c>
      <c r="H81" s="336"/>
      <c r="I81" s="336" t="s">
        <v>391</v>
      </c>
      <c r="J81" s="337"/>
    </row>
    <row r="82" spans="1:10" s="74" customFormat="1" ht="15" customHeight="1" thickBot="1" x14ac:dyDescent="0.3">
      <c r="A82" s="330"/>
      <c r="B82" s="331"/>
      <c r="C82" s="331"/>
      <c r="D82" s="331"/>
      <c r="E82" s="331"/>
      <c r="F82" s="331"/>
      <c r="G82" s="331"/>
      <c r="H82" s="331"/>
      <c r="I82" s="331">
        <f>SUM(A82:H82)</f>
        <v>0</v>
      </c>
      <c r="J82" s="338"/>
    </row>
    <row r="83" spans="1:10" s="74" customFormat="1" ht="30" customHeight="1" x14ac:dyDescent="0.25">
      <c r="A83" s="339" t="s">
        <v>395</v>
      </c>
      <c r="B83" s="340"/>
      <c r="C83" s="340"/>
      <c r="D83" s="340"/>
      <c r="E83" s="340"/>
      <c r="F83" s="340"/>
      <c r="G83" s="340"/>
      <c r="H83" s="340"/>
      <c r="I83" s="340"/>
      <c r="J83" s="341"/>
    </row>
    <row r="84" spans="1:10" s="74" customFormat="1" ht="24" customHeight="1" thickBot="1" x14ac:dyDescent="0.3">
      <c r="A84" s="342" t="s">
        <v>401</v>
      </c>
      <c r="B84" s="343"/>
      <c r="C84" s="343"/>
      <c r="D84" s="343"/>
      <c r="E84" s="343"/>
      <c r="F84" s="343"/>
      <c r="G84" s="343"/>
      <c r="H84" s="343"/>
      <c r="I84" s="343"/>
      <c r="J84" s="344"/>
    </row>
    <row r="85" spans="1:10" s="74" customFormat="1" ht="15" customHeight="1" x14ac:dyDescent="0.25">
      <c r="A85" s="61" t="s">
        <v>375</v>
      </c>
      <c r="B85" s="325"/>
      <c r="C85" s="325"/>
      <c r="D85" s="325"/>
      <c r="E85" s="325"/>
      <c r="F85" s="325"/>
      <c r="G85" s="325"/>
      <c r="H85" s="325"/>
      <c r="I85" s="325"/>
      <c r="J85" s="326"/>
    </row>
    <row r="86" spans="1:10" s="74" customFormat="1" ht="15" customHeight="1" x14ac:dyDescent="0.25">
      <c r="A86" s="82" t="s">
        <v>373</v>
      </c>
      <c r="B86" s="327"/>
      <c r="C86" s="327"/>
      <c r="D86" s="327"/>
      <c r="E86" s="327"/>
      <c r="F86" s="327"/>
      <c r="G86" s="327"/>
      <c r="H86" s="327"/>
      <c r="I86" s="327"/>
      <c r="J86" s="328"/>
    </row>
    <row r="87" spans="1:10" s="74" customFormat="1" ht="15" customHeight="1" x14ac:dyDescent="0.25">
      <c r="A87" s="82" t="s">
        <v>373</v>
      </c>
      <c r="B87" s="327"/>
      <c r="C87" s="327"/>
      <c r="D87" s="327"/>
      <c r="E87" s="327"/>
      <c r="F87" s="327"/>
      <c r="G87" s="327"/>
      <c r="H87" s="327"/>
      <c r="I87" s="327"/>
      <c r="J87" s="328"/>
    </row>
    <row r="88" spans="1:10" s="74" customFormat="1" ht="15" customHeight="1" x14ac:dyDescent="0.25">
      <c r="A88" s="82" t="s">
        <v>373</v>
      </c>
      <c r="B88" s="327"/>
      <c r="C88" s="327"/>
      <c r="D88" s="327"/>
      <c r="E88" s="327"/>
      <c r="F88" s="327"/>
      <c r="G88" s="327"/>
      <c r="H88" s="327"/>
      <c r="I88" s="327"/>
      <c r="J88" s="328"/>
    </row>
    <row r="89" spans="1:10" s="74" customFormat="1" ht="15" customHeight="1" x14ac:dyDescent="0.25">
      <c r="A89" s="82" t="s">
        <v>373</v>
      </c>
      <c r="B89" s="327"/>
      <c r="C89" s="327"/>
      <c r="D89" s="327"/>
      <c r="E89" s="327"/>
      <c r="F89" s="327"/>
      <c r="G89" s="327"/>
      <c r="H89" s="327"/>
      <c r="I89" s="327"/>
      <c r="J89" s="328"/>
    </row>
    <row r="90" spans="1:10" s="74" customFormat="1" ht="15" customHeight="1" x14ac:dyDescent="0.25">
      <c r="A90" s="82" t="s">
        <v>373</v>
      </c>
      <c r="B90" s="327"/>
      <c r="C90" s="327"/>
      <c r="D90" s="327"/>
      <c r="E90" s="327"/>
      <c r="F90" s="327"/>
      <c r="G90" s="327"/>
      <c r="H90" s="327"/>
      <c r="I90" s="327"/>
      <c r="J90" s="328"/>
    </row>
    <row r="91" spans="1:10" s="74" customFormat="1" ht="15" customHeight="1" x14ac:dyDescent="0.25">
      <c r="A91" s="60" t="s">
        <v>393</v>
      </c>
      <c r="B91" s="327"/>
      <c r="C91" s="327"/>
      <c r="D91" s="327"/>
      <c r="E91" s="327"/>
      <c r="F91" s="327"/>
      <c r="G91" s="327"/>
      <c r="H91" s="327"/>
      <c r="I91" s="327"/>
      <c r="J91" s="328"/>
    </row>
    <row r="92" spans="1:10" s="74" customFormat="1" ht="15" customHeight="1" x14ac:dyDescent="0.25">
      <c r="A92" s="332" t="s">
        <v>394</v>
      </c>
      <c r="B92" s="333"/>
      <c r="C92" s="333"/>
      <c r="D92" s="333"/>
      <c r="E92" s="333"/>
      <c r="F92" s="333"/>
      <c r="G92" s="333"/>
      <c r="H92" s="333"/>
      <c r="I92" s="333"/>
      <c r="J92" s="334"/>
    </row>
    <row r="93" spans="1:10" s="74" customFormat="1" ht="15" customHeight="1" x14ac:dyDescent="0.25">
      <c r="A93" s="329"/>
      <c r="B93" s="327"/>
      <c r="C93" s="327"/>
      <c r="D93" s="327"/>
      <c r="E93" s="327"/>
      <c r="F93" s="327"/>
      <c r="G93" s="327"/>
      <c r="H93" s="327"/>
      <c r="I93" s="327"/>
      <c r="J93" s="328"/>
    </row>
    <row r="94" spans="1:10" s="74" customFormat="1" ht="15" customHeight="1" x14ac:dyDescent="0.25">
      <c r="A94" s="329"/>
      <c r="B94" s="327"/>
      <c r="C94" s="327"/>
      <c r="D94" s="327"/>
      <c r="E94" s="327"/>
      <c r="F94" s="327"/>
      <c r="G94" s="327"/>
      <c r="H94" s="327"/>
      <c r="I94" s="327"/>
      <c r="J94" s="328"/>
    </row>
    <row r="95" spans="1:10" s="74" customFormat="1" ht="15" customHeight="1" x14ac:dyDescent="0.25">
      <c r="A95" s="329"/>
      <c r="B95" s="327"/>
      <c r="C95" s="327"/>
      <c r="D95" s="327"/>
      <c r="E95" s="327"/>
      <c r="F95" s="327"/>
      <c r="G95" s="327"/>
      <c r="H95" s="327"/>
      <c r="I95" s="327"/>
      <c r="J95" s="328"/>
    </row>
    <row r="96" spans="1:10" s="74" customFormat="1" ht="15" customHeight="1" x14ac:dyDescent="0.25">
      <c r="A96" s="335" t="s">
        <v>389</v>
      </c>
      <c r="B96" s="336"/>
      <c r="C96" s="336" t="s">
        <v>390</v>
      </c>
      <c r="D96" s="336"/>
      <c r="E96" s="336" t="s">
        <v>356</v>
      </c>
      <c r="F96" s="336"/>
      <c r="G96" s="336" t="s">
        <v>371</v>
      </c>
      <c r="H96" s="336"/>
      <c r="I96" s="336" t="s">
        <v>391</v>
      </c>
      <c r="J96" s="337"/>
    </row>
    <row r="97" spans="1:10" s="74" customFormat="1" ht="15" customHeight="1" thickBot="1" x14ac:dyDescent="0.3">
      <c r="A97" s="330"/>
      <c r="B97" s="331"/>
      <c r="C97" s="331"/>
      <c r="D97" s="331"/>
      <c r="E97" s="331"/>
      <c r="F97" s="331"/>
      <c r="G97" s="331"/>
      <c r="H97" s="331"/>
      <c r="I97" s="331">
        <f>SUM(A97:H97)</f>
        <v>0</v>
      </c>
      <c r="J97" s="338"/>
    </row>
    <row r="98" spans="1:10" s="74" customFormat="1" ht="15" customHeight="1" x14ac:dyDescent="0.25">
      <c r="A98" s="61" t="s">
        <v>374</v>
      </c>
      <c r="B98" s="325"/>
      <c r="C98" s="325"/>
      <c r="D98" s="325"/>
      <c r="E98" s="325"/>
      <c r="F98" s="325"/>
      <c r="G98" s="325"/>
      <c r="H98" s="325"/>
      <c r="I98" s="325"/>
      <c r="J98" s="326"/>
    </row>
    <row r="99" spans="1:10" s="74" customFormat="1" ht="15" customHeight="1" x14ac:dyDescent="0.25">
      <c r="A99" s="82" t="s">
        <v>373</v>
      </c>
      <c r="B99" s="327"/>
      <c r="C99" s="327"/>
      <c r="D99" s="327"/>
      <c r="E99" s="327"/>
      <c r="F99" s="327"/>
      <c r="G99" s="327"/>
      <c r="H99" s="327"/>
      <c r="I99" s="327"/>
      <c r="J99" s="328"/>
    </row>
    <row r="100" spans="1:10" s="74" customFormat="1" ht="15" customHeight="1" x14ac:dyDescent="0.25">
      <c r="A100" s="82" t="s">
        <v>373</v>
      </c>
      <c r="B100" s="327"/>
      <c r="C100" s="327"/>
      <c r="D100" s="327"/>
      <c r="E100" s="327"/>
      <c r="F100" s="327"/>
      <c r="G100" s="327"/>
      <c r="H100" s="327"/>
      <c r="I100" s="327"/>
      <c r="J100" s="328"/>
    </row>
    <row r="101" spans="1:10" s="74" customFormat="1" ht="15" customHeight="1" x14ac:dyDescent="0.25">
      <c r="A101" s="82" t="s">
        <v>373</v>
      </c>
      <c r="B101" s="327"/>
      <c r="C101" s="327"/>
      <c r="D101" s="327"/>
      <c r="E101" s="327"/>
      <c r="F101" s="327"/>
      <c r="G101" s="327"/>
      <c r="H101" s="327"/>
      <c r="I101" s="327"/>
      <c r="J101" s="328"/>
    </row>
    <row r="102" spans="1:10" s="74" customFormat="1" ht="15" customHeight="1" x14ac:dyDescent="0.25">
      <c r="A102" s="82" t="s">
        <v>373</v>
      </c>
      <c r="B102" s="327"/>
      <c r="C102" s="327"/>
      <c r="D102" s="327"/>
      <c r="E102" s="327"/>
      <c r="F102" s="327"/>
      <c r="G102" s="327"/>
      <c r="H102" s="327"/>
      <c r="I102" s="327"/>
      <c r="J102" s="328"/>
    </row>
    <row r="103" spans="1:10" s="74" customFormat="1" ht="15" customHeight="1" x14ac:dyDescent="0.25">
      <c r="A103" s="82" t="s">
        <v>373</v>
      </c>
      <c r="B103" s="327"/>
      <c r="C103" s="327"/>
      <c r="D103" s="327"/>
      <c r="E103" s="327"/>
      <c r="F103" s="327"/>
      <c r="G103" s="327"/>
      <c r="H103" s="327"/>
      <c r="I103" s="327"/>
      <c r="J103" s="328"/>
    </row>
    <row r="104" spans="1:10" s="74" customFormat="1" ht="15" customHeight="1" x14ac:dyDescent="0.25">
      <c r="A104" s="60" t="s">
        <v>376</v>
      </c>
      <c r="B104" s="327"/>
      <c r="C104" s="327"/>
      <c r="D104" s="327"/>
      <c r="E104" s="327"/>
      <c r="F104" s="327"/>
      <c r="G104" s="327"/>
      <c r="H104" s="327"/>
      <c r="I104" s="327"/>
      <c r="J104" s="328"/>
    </row>
    <row r="105" spans="1:10" s="74" customFormat="1" ht="15" customHeight="1" x14ac:dyDescent="0.25">
      <c r="A105" s="332" t="s">
        <v>394</v>
      </c>
      <c r="B105" s="333"/>
      <c r="C105" s="333"/>
      <c r="D105" s="333"/>
      <c r="E105" s="333"/>
      <c r="F105" s="333"/>
      <c r="G105" s="333"/>
      <c r="H105" s="333"/>
      <c r="I105" s="333"/>
      <c r="J105" s="334"/>
    </row>
    <row r="106" spans="1:10" s="74" customFormat="1" ht="15" customHeight="1" x14ac:dyDescent="0.25">
      <c r="A106" s="329"/>
      <c r="B106" s="327"/>
      <c r="C106" s="327"/>
      <c r="D106" s="327"/>
      <c r="E106" s="327"/>
      <c r="F106" s="327"/>
      <c r="G106" s="327"/>
      <c r="H106" s="327"/>
      <c r="I106" s="327"/>
      <c r="J106" s="328"/>
    </row>
    <row r="107" spans="1:10" s="74" customFormat="1" ht="15" customHeight="1" x14ac:dyDescent="0.25">
      <c r="A107" s="329"/>
      <c r="B107" s="327"/>
      <c r="C107" s="327"/>
      <c r="D107" s="327"/>
      <c r="E107" s="327"/>
      <c r="F107" s="327"/>
      <c r="G107" s="327"/>
      <c r="H107" s="327"/>
      <c r="I107" s="327"/>
      <c r="J107" s="328"/>
    </row>
    <row r="108" spans="1:10" s="74" customFormat="1" ht="15" customHeight="1" x14ac:dyDescent="0.25">
      <c r="A108" s="329"/>
      <c r="B108" s="327"/>
      <c r="C108" s="327"/>
      <c r="D108" s="327"/>
      <c r="E108" s="327"/>
      <c r="F108" s="327"/>
      <c r="G108" s="327"/>
      <c r="H108" s="327"/>
      <c r="I108" s="327"/>
      <c r="J108" s="328"/>
    </row>
    <row r="109" spans="1:10" s="74" customFormat="1" ht="15" customHeight="1" x14ac:dyDescent="0.25">
      <c r="A109" s="335" t="s">
        <v>389</v>
      </c>
      <c r="B109" s="336"/>
      <c r="C109" s="336" t="s">
        <v>390</v>
      </c>
      <c r="D109" s="336"/>
      <c r="E109" s="336" t="s">
        <v>356</v>
      </c>
      <c r="F109" s="336"/>
      <c r="G109" s="336" t="s">
        <v>371</v>
      </c>
      <c r="H109" s="336"/>
      <c r="I109" s="336" t="s">
        <v>391</v>
      </c>
      <c r="J109" s="337"/>
    </row>
    <row r="110" spans="1:10" s="74" customFormat="1" ht="15" customHeight="1" thickBot="1" x14ac:dyDescent="0.3">
      <c r="A110" s="330"/>
      <c r="B110" s="331"/>
      <c r="C110" s="331"/>
      <c r="D110" s="331"/>
      <c r="E110" s="331"/>
      <c r="F110" s="331"/>
      <c r="G110" s="331"/>
      <c r="H110" s="331"/>
      <c r="I110" s="331">
        <f>SUM(A110:H110)</f>
        <v>0</v>
      </c>
      <c r="J110" s="338"/>
    </row>
    <row r="111" spans="1:10" s="74" customFormat="1" ht="15" customHeight="1" x14ac:dyDescent="0.25">
      <c r="A111" s="61" t="s">
        <v>378</v>
      </c>
      <c r="B111" s="325"/>
      <c r="C111" s="325"/>
      <c r="D111" s="325"/>
      <c r="E111" s="325"/>
      <c r="F111" s="325"/>
      <c r="G111" s="325"/>
      <c r="H111" s="325"/>
      <c r="I111" s="325"/>
      <c r="J111" s="326"/>
    </row>
    <row r="112" spans="1:10" s="74" customFormat="1" ht="15" customHeight="1" x14ac:dyDescent="0.25">
      <c r="A112" s="82" t="s">
        <v>373</v>
      </c>
      <c r="B112" s="327"/>
      <c r="C112" s="327"/>
      <c r="D112" s="327"/>
      <c r="E112" s="327"/>
      <c r="F112" s="327"/>
      <c r="G112" s="327"/>
      <c r="H112" s="327"/>
      <c r="I112" s="327"/>
      <c r="J112" s="328"/>
    </row>
    <row r="113" spans="1:10" s="74" customFormat="1" ht="15" customHeight="1" x14ac:dyDescent="0.25">
      <c r="A113" s="82" t="s">
        <v>373</v>
      </c>
      <c r="B113" s="327"/>
      <c r="C113" s="327"/>
      <c r="D113" s="327"/>
      <c r="E113" s="327"/>
      <c r="F113" s="327"/>
      <c r="G113" s="327"/>
      <c r="H113" s="327"/>
      <c r="I113" s="327"/>
      <c r="J113" s="328"/>
    </row>
    <row r="114" spans="1:10" s="74" customFormat="1" ht="15" customHeight="1" x14ac:dyDescent="0.25">
      <c r="A114" s="82" t="s">
        <v>373</v>
      </c>
      <c r="B114" s="327"/>
      <c r="C114" s="327"/>
      <c r="D114" s="327"/>
      <c r="E114" s="327"/>
      <c r="F114" s="327"/>
      <c r="G114" s="327"/>
      <c r="H114" s="327"/>
      <c r="I114" s="327"/>
      <c r="J114" s="328"/>
    </row>
    <row r="115" spans="1:10" s="74" customFormat="1" ht="15" customHeight="1" x14ac:dyDescent="0.25">
      <c r="A115" s="82" t="s">
        <v>373</v>
      </c>
      <c r="B115" s="327"/>
      <c r="C115" s="327"/>
      <c r="D115" s="327"/>
      <c r="E115" s="327"/>
      <c r="F115" s="327"/>
      <c r="G115" s="327"/>
      <c r="H115" s="327"/>
      <c r="I115" s="327"/>
      <c r="J115" s="328"/>
    </row>
    <row r="116" spans="1:10" s="74" customFormat="1" ht="15" customHeight="1" x14ac:dyDescent="0.25">
      <c r="A116" s="82" t="s">
        <v>373</v>
      </c>
      <c r="B116" s="327"/>
      <c r="C116" s="327"/>
      <c r="D116" s="327"/>
      <c r="E116" s="327"/>
      <c r="F116" s="327"/>
      <c r="G116" s="327"/>
      <c r="H116" s="327"/>
      <c r="I116" s="327"/>
      <c r="J116" s="328"/>
    </row>
    <row r="117" spans="1:10" s="74" customFormat="1" ht="15" customHeight="1" x14ac:dyDescent="0.25">
      <c r="A117" s="60" t="s">
        <v>379</v>
      </c>
      <c r="B117" s="327"/>
      <c r="C117" s="327"/>
      <c r="D117" s="327"/>
      <c r="E117" s="327"/>
      <c r="F117" s="327"/>
      <c r="G117" s="327"/>
      <c r="H117" s="327"/>
      <c r="I117" s="327"/>
      <c r="J117" s="328"/>
    </row>
    <row r="118" spans="1:10" s="74" customFormat="1" ht="15" customHeight="1" x14ac:dyDescent="0.25">
      <c r="A118" s="332" t="s">
        <v>394</v>
      </c>
      <c r="B118" s="333"/>
      <c r="C118" s="333"/>
      <c r="D118" s="333"/>
      <c r="E118" s="333"/>
      <c r="F118" s="333"/>
      <c r="G118" s="333"/>
      <c r="H118" s="333"/>
      <c r="I118" s="333"/>
      <c r="J118" s="334"/>
    </row>
    <row r="119" spans="1:10" s="74" customFormat="1" ht="15" customHeight="1" x14ac:dyDescent="0.25">
      <c r="A119" s="329"/>
      <c r="B119" s="327"/>
      <c r="C119" s="327"/>
      <c r="D119" s="327"/>
      <c r="E119" s="327"/>
      <c r="F119" s="327"/>
      <c r="G119" s="327"/>
      <c r="H119" s="327"/>
      <c r="I119" s="327"/>
      <c r="J119" s="328"/>
    </row>
    <row r="120" spans="1:10" s="74" customFormat="1" ht="15" customHeight="1" x14ac:dyDescent="0.25">
      <c r="A120" s="329"/>
      <c r="B120" s="327"/>
      <c r="C120" s="327"/>
      <c r="D120" s="327"/>
      <c r="E120" s="327"/>
      <c r="F120" s="327"/>
      <c r="G120" s="327"/>
      <c r="H120" s="327"/>
      <c r="I120" s="327"/>
      <c r="J120" s="328"/>
    </row>
    <row r="121" spans="1:10" ht="15" customHeight="1" x14ac:dyDescent="0.25">
      <c r="A121" s="329"/>
      <c r="B121" s="327"/>
      <c r="C121" s="327"/>
      <c r="D121" s="327"/>
      <c r="E121" s="327"/>
      <c r="F121" s="327"/>
      <c r="G121" s="327"/>
      <c r="H121" s="327"/>
      <c r="I121" s="327"/>
      <c r="J121" s="328"/>
    </row>
    <row r="122" spans="1:10" ht="15" customHeight="1" x14ac:dyDescent="0.25">
      <c r="A122" s="335" t="s">
        <v>389</v>
      </c>
      <c r="B122" s="336"/>
      <c r="C122" s="336" t="s">
        <v>390</v>
      </c>
      <c r="D122" s="336"/>
      <c r="E122" s="336" t="s">
        <v>356</v>
      </c>
      <c r="F122" s="336"/>
      <c r="G122" s="336" t="s">
        <v>371</v>
      </c>
      <c r="H122" s="336"/>
      <c r="I122" s="336" t="s">
        <v>391</v>
      </c>
      <c r="J122" s="337"/>
    </row>
    <row r="123" spans="1:10" s="74" customFormat="1" ht="15" customHeight="1" thickBot="1" x14ac:dyDescent="0.3">
      <c r="A123" s="330"/>
      <c r="B123" s="331"/>
      <c r="C123" s="331"/>
      <c r="D123" s="331"/>
      <c r="E123" s="331"/>
      <c r="F123" s="331"/>
      <c r="G123" s="331"/>
      <c r="H123" s="331"/>
      <c r="I123" s="331">
        <f>SUM(A123:H123)</f>
        <v>0</v>
      </c>
      <c r="J123" s="338"/>
    </row>
    <row r="124" spans="1:10" s="74" customFormat="1" ht="30" customHeight="1" x14ac:dyDescent="0.25">
      <c r="A124" s="339" t="s">
        <v>395</v>
      </c>
      <c r="B124" s="340"/>
      <c r="C124" s="340"/>
      <c r="D124" s="340"/>
      <c r="E124" s="340"/>
      <c r="F124" s="340"/>
      <c r="G124" s="340"/>
      <c r="H124" s="340"/>
      <c r="I124" s="340"/>
      <c r="J124" s="341"/>
    </row>
    <row r="125" spans="1:10" s="74" customFormat="1" ht="24" customHeight="1" thickBot="1" x14ac:dyDescent="0.3">
      <c r="A125" s="342" t="s">
        <v>401</v>
      </c>
      <c r="B125" s="343"/>
      <c r="C125" s="343"/>
      <c r="D125" s="343"/>
      <c r="E125" s="343"/>
      <c r="F125" s="343"/>
      <c r="G125" s="343"/>
      <c r="H125" s="343"/>
      <c r="I125" s="343"/>
      <c r="J125" s="344"/>
    </row>
    <row r="126" spans="1:10" s="74" customFormat="1" ht="15" customHeight="1" x14ac:dyDescent="0.25">
      <c r="A126" s="61" t="s">
        <v>380</v>
      </c>
      <c r="B126" s="325"/>
      <c r="C126" s="325"/>
      <c r="D126" s="325"/>
      <c r="E126" s="325"/>
      <c r="F126" s="325"/>
      <c r="G126" s="325"/>
      <c r="H126" s="325"/>
      <c r="I126" s="325"/>
      <c r="J126" s="326"/>
    </row>
    <row r="127" spans="1:10" s="74" customFormat="1" ht="15" customHeight="1" x14ac:dyDescent="0.25">
      <c r="A127" s="82" t="s">
        <v>373</v>
      </c>
      <c r="B127" s="327"/>
      <c r="C127" s="327"/>
      <c r="D127" s="327"/>
      <c r="E127" s="327"/>
      <c r="F127" s="327"/>
      <c r="G127" s="327"/>
      <c r="H127" s="327"/>
      <c r="I127" s="327"/>
      <c r="J127" s="328"/>
    </row>
    <row r="128" spans="1:10" s="74" customFormat="1" ht="15" customHeight="1" x14ac:dyDescent="0.25">
      <c r="A128" s="82" t="s">
        <v>373</v>
      </c>
      <c r="B128" s="327"/>
      <c r="C128" s="327"/>
      <c r="D128" s="327"/>
      <c r="E128" s="327"/>
      <c r="F128" s="327"/>
      <c r="G128" s="327"/>
      <c r="H128" s="327"/>
      <c r="I128" s="327"/>
      <c r="J128" s="328"/>
    </row>
    <row r="129" spans="1:10" s="74" customFormat="1" ht="15" customHeight="1" x14ac:dyDescent="0.25">
      <c r="A129" s="82" t="s">
        <v>373</v>
      </c>
      <c r="B129" s="327"/>
      <c r="C129" s="327"/>
      <c r="D129" s="327"/>
      <c r="E129" s="327"/>
      <c r="F129" s="327"/>
      <c r="G129" s="327"/>
      <c r="H129" s="327"/>
      <c r="I129" s="327"/>
      <c r="J129" s="328"/>
    </row>
    <row r="130" spans="1:10" s="74" customFormat="1" ht="15" customHeight="1" x14ac:dyDescent="0.25">
      <c r="A130" s="82" t="s">
        <v>373</v>
      </c>
      <c r="B130" s="327"/>
      <c r="C130" s="327"/>
      <c r="D130" s="327"/>
      <c r="E130" s="327"/>
      <c r="F130" s="327"/>
      <c r="G130" s="327"/>
      <c r="H130" s="327"/>
      <c r="I130" s="327"/>
      <c r="J130" s="328"/>
    </row>
    <row r="131" spans="1:10" s="74" customFormat="1" ht="15" customHeight="1" x14ac:dyDescent="0.25">
      <c r="A131" s="82" t="s">
        <v>373</v>
      </c>
      <c r="B131" s="327"/>
      <c r="C131" s="327"/>
      <c r="D131" s="327"/>
      <c r="E131" s="327"/>
      <c r="F131" s="327"/>
      <c r="G131" s="327"/>
      <c r="H131" s="327"/>
      <c r="I131" s="327"/>
      <c r="J131" s="328"/>
    </row>
    <row r="132" spans="1:10" s="74" customFormat="1" ht="15" customHeight="1" x14ac:dyDescent="0.25">
      <c r="A132" s="60" t="s">
        <v>381</v>
      </c>
      <c r="B132" s="327"/>
      <c r="C132" s="327"/>
      <c r="D132" s="327"/>
      <c r="E132" s="327"/>
      <c r="F132" s="327"/>
      <c r="G132" s="327"/>
      <c r="H132" s="327"/>
      <c r="I132" s="327"/>
      <c r="J132" s="328"/>
    </row>
    <row r="133" spans="1:10" s="74" customFormat="1" ht="15" customHeight="1" x14ac:dyDescent="0.25">
      <c r="A133" s="332" t="s">
        <v>394</v>
      </c>
      <c r="B133" s="333"/>
      <c r="C133" s="333"/>
      <c r="D133" s="333"/>
      <c r="E133" s="333"/>
      <c r="F133" s="333"/>
      <c r="G133" s="333"/>
      <c r="H133" s="333"/>
      <c r="I133" s="333"/>
      <c r="J133" s="334"/>
    </row>
    <row r="134" spans="1:10" s="74" customFormat="1" ht="15" customHeight="1" x14ac:dyDescent="0.25">
      <c r="A134" s="329"/>
      <c r="B134" s="327"/>
      <c r="C134" s="327"/>
      <c r="D134" s="327"/>
      <c r="E134" s="327"/>
      <c r="F134" s="327"/>
      <c r="G134" s="327"/>
      <c r="H134" s="327"/>
      <c r="I134" s="327"/>
      <c r="J134" s="328"/>
    </row>
    <row r="135" spans="1:10" s="74" customFormat="1" ht="15" customHeight="1" x14ac:dyDescent="0.25">
      <c r="A135" s="329"/>
      <c r="B135" s="327"/>
      <c r="C135" s="327"/>
      <c r="D135" s="327"/>
      <c r="E135" s="327"/>
      <c r="F135" s="327"/>
      <c r="G135" s="327"/>
      <c r="H135" s="327"/>
      <c r="I135" s="327"/>
      <c r="J135" s="328"/>
    </row>
    <row r="136" spans="1:10" s="74" customFormat="1" ht="15" customHeight="1" x14ac:dyDescent="0.25">
      <c r="A136" s="329"/>
      <c r="B136" s="327"/>
      <c r="C136" s="327"/>
      <c r="D136" s="327"/>
      <c r="E136" s="327"/>
      <c r="F136" s="327"/>
      <c r="G136" s="327"/>
      <c r="H136" s="327"/>
      <c r="I136" s="327"/>
      <c r="J136" s="328"/>
    </row>
    <row r="137" spans="1:10" s="74" customFormat="1" ht="15" customHeight="1" x14ac:dyDescent="0.25">
      <c r="A137" s="335" t="s">
        <v>389</v>
      </c>
      <c r="B137" s="336"/>
      <c r="C137" s="336" t="s">
        <v>390</v>
      </c>
      <c r="D137" s="336"/>
      <c r="E137" s="336" t="s">
        <v>356</v>
      </c>
      <c r="F137" s="336"/>
      <c r="G137" s="336" t="s">
        <v>371</v>
      </c>
      <c r="H137" s="336"/>
      <c r="I137" s="336" t="s">
        <v>391</v>
      </c>
      <c r="J137" s="337"/>
    </row>
    <row r="138" spans="1:10" s="74" customFormat="1" ht="15" customHeight="1" thickBot="1" x14ac:dyDescent="0.3">
      <c r="A138" s="330"/>
      <c r="B138" s="331"/>
      <c r="C138" s="331"/>
      <c r="D138" s="331"/>
      <c r="E138" s="331"/>
      <c r="F138" s="331"/>
      <c r="G138" s="331"/>
      <c r="H138" s="331"/>
      <c r="I138" s="331">
        <f>SUM(A138:H138)</f>
        <v>0</v>
      </c>
      <c r="J138" s="338"/>
    </row>
    <row r="139" spans="1:10" s="74" customFormat="1" ht="15" customHeight="1" x14ac:dyDescent="0.25">
      <c r="A139" s="61" t="s">
        <v>382</v>
      </c>
      <c r="B139" s="325"/>
      <c r="C139" s="325"/>
      <c r="D139" s="325"/>
      <c r="E139" s="325"/>
      <c r="F139" s="325"/>
      <c r="G139" s="325"/>
      <c r="H139" s="325"/>
      <c r="I139" s="325"/>
      <c r="J139" s="326"/>
    </row>
    <row r="140" spans="1:10" s="74" customFormat="1" ht="15" customHeight="1" x14ac:dyDescent="0.25">
      <c r="A140" s="82" t="s">
        <v>373</v>
      </c>
      <c r="B140" s="327"/>
      <c r="C140" s="327"/>
      <c r="D140" s="327"/>
      <c r="E140" s="327"/>
      <c r="F140" s="327"/>
      <c r="G140" s="327"/>
      <c r="H140" s="327"/>
      <c r="I140" s="327"/>
      <c r="J140" s="328"/>
    </row>
    <row r="141" spans="1:10" s="74" customFormat="1" ht="15" customHeight="1" x14ac:dyDescent="0.25">
      <c r="A141" s="82" t="s">
        <v>373</v>
      </c>
      <c r="B141" s="327"/>
      <c r="C141" s="327"/>
      <c r="D141" s="327"/>
      <c r="E141" s="327"/>
      <c r="F141" s="327"/>
      <c r="G141" s="327"/>
      <c r="H141" s="327"/>
      <c r="I141" s="327"/>
      <c r="J141" s="328"/>
    </row>
    <row r="142" spans="1:10" s="74" customFormat="1" ht="15" customHeight="1" x14ac:dyDescent="0.25">
      <c r="A142" s="82" t="s">
        <v>373</v>
      </c>
      <c r="B142" s="327"/>
      <c r="C142" s="327"/>
      <c r="D142" s="327"/>
      <c r="E142" s="327"/>
      <c r="F142" s="327"/>
      <c r="G142" s="327"/>
      <c r="H142" s="327"/>
      <c r="I142" s="327"/>
      <c r="J142" s="328"/>
    </row>
    <row r="143" spans="1:10" s="74" customFormat="1" ht="15" customHeight="1" x14ac:dyDescent="0.25">
      <c r="A143" s="82" t="s">
        <v>373</v>
      </c>
      <c r="B143" s="327"/>
      <c r="C143" s="327"/>
      <c r="D143" s="327"/>
      <c r="E143" s="327"/>
      <c r="F143" s="327"/>
      <c r="G143" s="327"/>
      <c r="H143" s="327"/>
      <c r="I143" s="327"/>
      <c r="J143" s="328"/>
    </row>
    <row r="144" spans="1:10" s="74" customFormat="1" ht="15" customHeight="1" x14ac:dyDescent="0.25">
      <c r="A144" s="82" t="s">
        <v>373</v>
      </c>
      <c r="B144" s="327"/>
      <c r="C144" s="327"/>
      <c r="D144" s="327"/>
      <c r="E144" s="327"/>
      <c r="F144" s="327"/>
      <c r="G144" s="327"/>
      <c r="H144" s="327"/>
      <c r="I144" s="327"/>
      <c r="J144" s="328"/>
    </row>
    <row r="145" spans="1:10" s="74" customFormat="1" ht="15" customHeight="1" x14ac:dyDescent="0.25">
      <c r="A145" s="60" t="s">
        <v>383</v>
      </c>
      <c r="B145" s="327"/>
      <c r="C145" s="327"/>
      <c r="D145" s="327"/>
      <c r="E145" s="327"/>
      <c r="F145" s="327"/>
      <c r="G145" s="327"/>
      <c r="H145" s="327"/>
      <c r="I145" s="327"/>
      <c r="J145" s="328"/>
    </row>
    <row r="146" spans="1:10" s="74" customFormat="1" ht="15" customHeight="1" x14ac:dyDescent="0.25">
      <c r="A146" s="332" t="s">
        <v>394</v>
      </c>
      <c r="B146" s="333"/>
      <c r="C146" s="333"/>
      <c r="D146" s="333"/>
      <c r="E146" s="333"/>
      <c r="F146" s="333"/>
      <c r="G146" s="333"/>
      <c r="H146" s="333"/>
      <c r="I146" s="333"/>
      <c r="J146" s="334"/>
    </row>
    <row r="147" spans="1:10" s="74" customFormat="1" ht="15" customHeight="1" x14ac:dyDescent="0.25">
      <c r="A147" s="329"/>
      <c r="B147" s="327"/>
      <c r="C147" s="327"/>
      <c r="D147" s="327"/>
      <c r="E147" s="327"/>
      <c r="F147" s="327"/>
      <c r="G147" s="327"/>
      <c r="H147" s="327"/>
      <c r="I147" s="327"/>
      <c r="J147" s="328"/>
    </row>
    <row r="148" spans="1:10" s="74" customFormat="1" ht="15" customHeight="1" x14ac:dyDescent="0.25">
      <c r="A148" s="329"/>
      <c r="B148" s="327"/>
      <c r="C148" s="327"/>
      <c r="D148" s="327"/>
      <c r="E148" s="327"/>
      <c r="F148" s="327"/>
      <c r="G148" s="327"/>
      <c r="H148" s="327"/>
      <c r="I148" s="327"/>
      <c r="J148" s="328"/>
    </row>
    <row r="149" spans="1:10" s="74" customFormat="1" ht="15" customHeight="1" x14ac:dyDescent="0.25">
      <c r="A149" s="329"/>
      <c r="B149" s="327"/>
      <c r="C149" s="327"/>
      <c r="D149" s="327"/>
      <c r="E149" s="327"/>
      <c r="F149" s="327"/>
      <c r="G149" s="327"/>
      <c r="H149" s="327"/>
      <c r="I149" s="327"/>
      <c r="J149" s="328"/>
    </row>
    <row r="150" spans="1:10" s="74" customFormat="1" ht="15" customHeight="1" x14ac:dyDescent="0.25">
      <c r="A150" s="335" t="s">
        <v>389</v>
      </c>
      <c r="B150" s="336"/>
      <c r="C150" s="336" t="s">
        <v>390</v>
      </c>
      <c r="D150" s="336"/>
      <c r="E150" s="336" t="s">
        <v>356</v>
      </c>
      <c r="F150" s="336"/>
      <c r="G150" s="336" t="s">
        <v>371</v>
      </c>
      <c r="H150" s="336"/>
      <c r="I150" s="336" t="s">
        <v>391</v>
      </c>
      <c r="J150" s="337"/>
    </row>
    <row r="151" spans="1:10" s="74" customFormat="1" ht="15" customHeight="1" thickBot="1" x14ac:dyDescent="0.3">
      <c r="A151" s="330"/>
      <c r="B151" s="331"/>
      <c r="C151" s="331"/>
      <c r="D151" s="331"/>
      <c r="E151" s="331"/>
      <c r="F151" s="331"/>
      <c r="G151" s="331"/>
      <c r="H151" s="331"/>
      <c r="I151" s="331">
        <f>SUM(A151:H151)</f>
        <v>0</v>
      </c>
      <c r="J151" s="338"/>
    </row>
    <row r="152" spans="1:10" s="74" customFormat="1" ht="15" customHeight="1" x14ac:dyDescent="0.25">
      <c r="A152" s="61" t="s">
        <v>387</v>
      </c>
      <c r="B152" s="325"/>
      <c r="C152" s="325"/>
      <c r="D152" s="325"/>
      <c r="E152" s="325"/>
      <c r="F152" s="325"/>
      <c r="G152" s="325"/>
      <c r="H152" s="325"/>
      <c r="I152" s="325"/>
      <c r="J152" s="326"/>
    </row>
    <row r="153" spans="1:10" s="74" customFormat="1" ht="15" customHeight="1" x14ac:dyDescent="0.25">
      <c r="A153" s="82" t="s">
        <v>373</v>
      </c>
      <c r="B153" s="327"/>
      <c r="C153" s="327"/>
      <c r="D153" s="327"/>
      <c r="E153" s="327"/>
      <c r="F153" s="327"/>
      <c r="G153" s="327"/>
      <c r="H153" s="327"/>
      <c r="I153" s="327"/>
      <c r="J153" s="328"/>
    </row>
    <row r="154" spans="1:10" s="74" customFormat="1" ht="15" customHeight="1" x14ac:dyDescent="0.25">
      <c r="A154" s="82" t="s">
        <v>373</v>
      </c>
      <c r="B154" s="327"/>
      <c r="C154" s="327"/>
      <c r="D154" s="327"/>
      <c r="E154" s="327"/>
      <c r="F154" s="327"/>
      <c r="G154" s="327"/>
      <c r="H154" s="327"/>
      <c r="I154" s="327"/>
      <c r="J154" s="328"/>
    </row>
    <row r="155" spans="1:10" s="74" customFormat="1" ht="15" customHeight="1" x14ac:dyDescent="0.25">
      <c r="A155" s="82" t="s">
        <v>373</v>
      </c>
      <c r="B155" s="327"/>
      <c r="C155" s="327"/>
      <c r="D155" s="327"/>
      <c r="E155" s="327"/>
      <c r="F155" s="327"/>
      <c r="G155" s="327"/>
      <c r="H155" s="327"/>
      <c r="I155" s="327"/>
      <c r="J155" s="328"/>
    </row>
    <row r="156" spans="1:10" s="74" customFormat="1" ht="15" customHeight="1" x14ac:dyDescent="0.25">
      <c r="A156" s="82" t="s">
        <v>373</v>
      </c>
      <c r="B156" s="327"/>
      <c r="C156" s="327"/>
      <c r="D156" s="327"/>
      <c r="E156" s="327"/>
      <c r="F156" s="327"/>
      <c r="G156" s="327"/>
      <c r="H156" s="327"/>
      <c r="I156" s="327"/>
      <c r="J156" s="328"/>
    </row>
    <row r="157" spans="1:10" s="74" customFormat="1" ht="15" customHeight="1" x14ac:dyDescent="0.25">
      <c r="A157" s="82" t="s">
        <v>373</v>
      </c>
      <c r="B157" s="327"/>
      <c r="C157" s="327"/>
      <c r="D157" s="327"/>
      <c r="E157" s="327"/>
      <c r="F157" s="327"/>
      <c r="G157" s="327"/>
      <c r="H157" s="327"/>
      <c r="I157" s="327"/>
      <c r="J157" s="328"/>
    </row>
    <row r="158" spans="1:10" s="74" customFormat="1" ht="15" customHeight="1" x14ac:dyDescent="0.25">
      <c r="A158" s="60" t="s">
        <v>388</v>
      </c>
      <c r="B158" s="327"/>
      <c r="C158" s="327"/>
      <c r="D158" s="327"/>
      <c r="E158" s="327"/>
      <c r="F158" s="327"/>
      <c r="G158" s="327"/>
      <c r="H158" s="327"/>
      <c r="I158" s="327"/>
      <c r="J158" s="328"/>
    </row>
    <row r="159" spans="1:10" s="74" customFormat="1" ht="15" customHeight="1" x14ac:dyDescent="0.25">
      <c r="A159" s="332" t="s">
        <v>394</v>
      </c>
      <c r="B159" s="333"/>
      <c r="C159" s="333"/>
      <c r="D159" s="333"/>
      <c r="E159" s="333"/>
      <c r="F159" s="333"/>
      <c r="G159" s="333"/>
      <c r="H159" s="333"/>
      <c r="I159" s="333"/>
      <c r="J159" s="334"/>
    </row>
    <row r="160" spans="1:10" s="74" customFormat="1" ht="15" customHeight="1" x14ac:dyDescent="0.25">
      <c r="A160" s="329"/>
      <c r="B160" s="327"/>
      <c r="C160" s="327"/>
      <c r="D160" s="327"/>
      <c r="E160" s="327"/>
      <c r="F160" s="327"/>
      <c r="G160" s="327"/>
      <c r="H160" s="327"/>
      <c r="I160" s="327"/>
      <c r="J160" s="328"/>
    </row>
    <row r="161" spans="1:10" s="74" customFormat="1" ht="15" customHeight="1" x14ac:dyDescent="0.25">
      <c r="A161" s="329"/>
      <c r="B161" s="327"/>
      <c r="C161" s="327"/>
      <c r="D161" s="327"/>
      <c r="E161" s="327"/>
      <c r="F161" s="327"/>
      <c r="G161" s="327"/>
      <c r="H161" s="327"/>
      <c r="I161" s="327"/>
      <c r="J161" s="328"/>
    </row>
    <row r="162" spans="1:10" ht="15" customHeight="1" x14ac:dyDescent="0.25">
      <c r="A162" s="329"/>
      <c r="B162" s="327"/>
      <c r="C162" s="327"/>
      <c r="D162" s="327"/>
      <c r="E162" s="327"/>
      <c r="F162" s="327"/>
      <c r="G162" s="327"/>
      <c r="H162" s="327"/>
      <c r="I162" s="327"/>
      <c r="J162" s="328"/>
    </row>
    <row r="163" spans="1:10" ht="15" customHeight="1" x14ac:dyDescent="0.25">
      <c r="A163" s="335" t="s">
        <v>389</v>
      </c>
      <c r="B163" s="336"/>
      <c r="C163" s="336" t="s">
        <v>390</v>
      </c>
      <c r="D163" s="336"/>
      <c r="E163" s="336" t="s">
        <v>356</v>
      </c>
      <c r="F163" s="336"/>
      <c r="G163" s="336" t="s">
        <v>371</v>
      </c>
      <c r="H163" s="336"/>
      <c r="I163" s="336" t="s">
        <v>391</v>
      </c>
      <c r="J163" s="337"/>
    </row>
    <row r="164" spans="1:10" s="74" customFormat="1" ht="15" customHeight="1" thickBot="1" x14ac:dyDescent="0.3">
      <c r="A164" s="330"/>
      <c r="B164" s="331"/>
      <c r="C164" s="331"/>
      <c r="D164" s="331"/>
      <c r="E164" s="331"/>
      <c r="F164" s="331"/>
      <c r="G164" s="331"/>
      <c r="H164" s="331"/>
      <c r="I164" s="331">
        <f>SUM(A164:H164)</f>
        <v>0</v>
      </c>
      <c r="J164" s="338"/>
    </row>
    <row r="165" spans="1:10" ht="30" customHeight="1" thickBot="1" x14ac:dyDescent="0.3">
      <c r="A165" s="211" t="s">
        <v>396</v>
      </c>
      <c r="B165" s="212"/>
      <c r="C165" s="212"/>
      <c r="D165" s="212"/>
      <c r="E165" s="212"/>
      <c r="F165" s="212"/>
      <c r="G165" s="212"/>
      <c r="H165" s="212"/>
      <c r="I165" s="212"/>
      <c r="J165" s="213"/>
    </row>
    <row r="166" spans="1:10" ht="24" customHeight="1" thickBot="1" x14ac:dyDescent="0.3">
      <c r="A166" s="322" t="s">
        <v>397</v>
      </c>
      <c r="B166" s="323"/>
      <c r="C166" s="323"/>
      <c r="D166" s="323"/>
      <c r="E166" s="323"/>
      <c r="F166" s="323"/>
      <c r="G166" s="323"/>
      <c r="H166" s="323"/>
      <c r="I166" s="323"/>
      <c r="J166" s="324"/>
    </row>
    <row r="167" spans="1:10" s="74" customFormat="1" ht="15" customHeight="1" x14ac:dyDescent="0.25">
      <c r="A167" s="61" t="s">
        <v>375</v>
      </c>
      <c r="B167" s="325"/>
      <c r="C167" s="325"/>
      <c r="D167" s="325"/>
      <c r="E167" s="325"/>
      <c r="F167" s="325"/>
      <c r="G167" s="325"/>
      <c r="H167" s="325"/>
      <c r="I167" s="325"/>
      <c r="J167" s="326"/>
    </row>
    <row r="168" spans="1:10" s="74" customFormat="1" ht="15" customHeight="1" x14ac:dyDescent="0.25">
      <c r="A168" s="82" t="s">
        <v>373</v>
      </c>
      <c r="B168" s="327"/>
      <c r="C168" s="327"/>
      <c r="D168" s="327"/>
      <c r="E168" s="327"/>
      <c r="F168" s="327"/>
      <c r="G168" s="327"/>
      <c r="H168" s="327"/>
      <c r="I168" s="327"/>
      <c r="J168" s="328"/>
    </row>
    <row r="169" spans="1:10" s="74" customFormat="1" ht="15" customHeight="1" x14ac:dyDescent="0.25">
      <c r="A169" s="82" t="s">
        <v>373</v>
      </c>
      <c r="B169" s="327"/>
      <c r="C169" s="327"/>
      <c r="D169" s="327"/>
      <c r="E169" s="327"/>
      <c r="F169" s="327"/>
      <c r="G169" s="327"/>
      <c r="H169" s="327"/>
      <c r="I169" s="327"/>
      <c r="J169" s="328"/>
    </row>
    <row r="170" spans="1:10" s="74" customFormat="1" ht="15" customHeight="1" x14ac:dyDescent="0.25">
      <c r="A170" s="82" t="s">
        <v>373</v>
      </c>
      <c r="B170" s="327"/>
      <c r="C170" s="327"/>
      <c r="D170" s="327"/>
      <c r="E170" s="327"/>
      <c r="F170" s="327"/>
      <c r="G170" s="327"/>
      <c r="H170" s="327"/>
      <c r="I170" s="327"/>
      <c r="J170" s="328"/>
    </row>
    <row r="171" spans="1:10" s="74" customFormat="1" ht="15" customHeight="1" x14ac:dyDescent="0.25">
      <c r="A171" s="82" t="s">
        <v>373</v>
      </c>
      <c r="B171" s="327"/>
      <c r="C171" s="327"/>
      <c r="D171" s="327"/>
      <c r="E171" s="327"/>
      <c r="F171" s="327"/>
      <c r="G171" s="327"/>
      <c r="H171" s="327"/>
      <c r="I171" s="327"/>
      <c r="J171" s="328"/>
    </row>
    <row r="172" spans="1:10" s="74" customFormat="1" ht="15" customHeight="1" x14ac:dyDescent="0.25">
      <c r="A172" s="82" t="s">
        <v>373</v>
      </c>
      <c r="B172" s="327"/>
      <c r="C172" s="327"/>
      <c r="D172" s="327"/>
      <c r="E172" s="327"/>
      <c r="F172" s="327"/>
      <c r="G172" s="327"/>
      <c r="H172" s="327"/>
      <c r="I172" s="327"/>
      <c r="J172" s="328"/>
    </row>
    <row r="173" spans="1:10" s="74" customFormat="1" ht="15" customHeight="1" x14ac:dyDescent="0.25">
      <c r="A173" s="60" t="s">
        <v>377</v>
      </c>
      <c r="B173" s="327"/>
      <c r="C173" s="327"/>
      <c r="D173" s="327"/>
      <c r="E173" s="327"/>
      <c r="F173" s="327"/>
      <c r="G173" s="327"/>
      <c r="H173" s="327"/>
      <c r="I173" s="327"/>
      <c r="J173" s="328"/>
    </row>
    <row r="174" spans="1:10" s="74" customFormat="1" ht="15" customHeight="1" x14ac:dyDescent="0.25">
      <c r="A174" s="332" t="s">
        <v>398</v>
      </c>
      <c r="B174" s="333"/>
      <c r="C174" s="333"/>
      <c r="D174" s="333"/>
      <c r="E174" s="333"/>
      <c r="F174" s="333"/>
      <c r="G174" s="333"/>
      <c r="H174" s="333"/>
      <c r="I174" s="333"/>
      <c r="J174" s="334"/>
    </row>
    <row r="175" spans="1:10" s="74" customFormat="1" ht="15" customHeight="1" x14ac:dyDescent="0.25">
      <c r="A175" s="329"/>
      <c r="B175" s="327"/>
      <c r="C175" s="327"/>
      <c r="D175" s="327"/>
      <c r="E175" s="327"/>
      <c r="F175" s="327"/>
      <c r="G175" s="327"/>
      <c r="H175" s="327"/>
      <c r="I175" s="327"/>
      <c r="J175" s="328"/>
    </row>
    <row r="176" spans="1:10" s="74" customFormat="1" ht="15" customHeight="1" x14ac:dyDescent="0.25">
      <c r="A176" s="329"/>
      <c r="B176" s="327"/>
      <c r="C176" s="327"/>
      <c r="D176" s="327"/>
      <c r="E176" s="327"/>
      <c r="F176" s="327"/>
      <c r="G176" s="327"/>
      <c r="H176" s="327"/>
      <c r="I176" s="327"/>
      <c r="J176" s="328"/>
    </row>
    <row r="177" spans="1:10" s="74" customFormat="1" ht="15" customHeight="1" x14ac:dyDescent="0.25">
      <c r="A177" s="329"/>
      <c r="B177" s="327"/>
      <c r="C177" s="327"/>
      <c r="D177" s="327"/>
      <c r="E177" s="327"/>
      <c r="F177" s="327"/>
      <c r="G177" s="327"/>
      <c r="H177" s="327"/>
      <c r="I177" s="327"/>
      <c r="J177" s="328"/>
    </row>
    <row r="178" spans="1:10" s="74" customFormat="1" ht="15" customHeight="1" x14ac:dyDescent="0.25">
      <c r="A178" s="335" t="s">
        <v>389</v>
      </c>
      <c r="B178" s="336"/>
      <c r="C178" s="336" t="s">
        <v>390</v>
      </c>
      <c r="D178" s="336"/>
      <c r="E178" s="336" t="s">
        <v>356</v>
      </c>
      <c r="F178" s="336"/>
      <c r="G178" s="336" t="s">
        <v>371</v>
      </c>
      <c r="H178" s="336"/>
      <c r="I178" s="336" t="s">
        <v>391</v>
      </c>
      <c r="J178" s="337"/>
    </row>
    <row r="179" spans="1:10" s="74" customFormat="1" ht="15" customHeight="1" thickBot="1" x14ac:dyDescent="0.3">
      <c r="A179" s="330"/>
      <c r="B179" s="331"/>
      <c r="C179" s="331"/>
      <c r="D179" s="331"/>
      <c r="E179" s="331"/>
      <c r="F179" s="331"/>
      <c r="G179" s="331"/>
      <c r="H179" s="331"/>
      <c r="I179" s="331">
        <f>SUM(A179:H179)</f>
        <v>0</v>
      </c>
      <c r="J179" s="338"/>
    </row>
    <row r="180" spans="1:10" s="74" customFormat="1" ht="15" customHeight="1" x14ac:dyDescent="0.25">
      <c r="A180" s="61" t="s">
        <v>374</v>
      </c>
      <c r="B180" s="325"/>
      <c r="C180" s="325"/>
      <c r="D180" s="325"/>
      <c r="E180" s="325"/>
      <c r="F180" s="325"/>
      <c r="G180" s="325"/>
      <c r="H180" s="325"/>
      <c r="I180" s="325"/>
      <c r="J180" s="326"/>
    </row>
    <row r="181" spans="1:10" s="74" customFormat="1" ht="15" customHeight="1" x14ac:dyDescent="0.25">
      <c r="A181" s="82" t="s">
        <v>373</v>
      </c>
      <c r="B181" s="327"/>
      <c r="C181" s="327"/>
      <c r="D181" s="327"/>
      <c r="E181" s="327"/>
      <c r="F181" s="327"/>
      <c r="G181" s="327"/>
      <c r="H181" s="327"/>
      <c r="I181" s="327"/>
      <c r="J181" s="328"/>
    </row>
    <row r="182" spans="1:10" s="74" customFormat="1" ht="15" customHeight="1" x14ac:dyDescent="0.25">
      <c r="A182" s="82" t="s">
        <v>373</v>
      </c>
      <c r="B182" s="327"/>
      <c r="C182" s="327"/>
      <c r="D182" s="327"/>
      <c r="E182" s="327"/>
      <c r="F182" s="327"/>
      <c r="G182" s="327"/>
      <c r="H182" s="327"/>
      <c r="I182" s="327"/>
      <c r="J182" s="328"/>
    </row>
    <row r="183" spans="1:10" s="74" customFormat="1" ht="15" customHeight="1" x14ac:dyDescent="0.25">
      <c r="A183" s="82" t="s">
        <v>373</v>
      </c>
      <c r="B183" s="327"/>
      <c r="C183" s="327"/>
      <c r="D183" s="327"/>
      <c r="E183" s="327"/>
      <c r="F183" s="327"/>
      <c r="G183" s="327"/>
      <c r="H183" s="327"/>
      <c r="I183" s="327"/>
      <c r="J183" s="328"/>
    </row>
    <row r="184" spans="1:10" s="74" customFormat="1" ht="15" customHeight="1" x14ac:dyDescent="0.25">
      <c r="A184" s="82" t="s">
        <v>373</v>
      </c>
      <c r="B184" s="327"/>
      <c r="C184" s="327"/>
      <c r="D184" s="327"/>
      <c r="E184" s="327"/>
      <c r="F184" s="327"/>
      <c r="G184" s="327"/>
      <c r="H184" s="327"/>
      <c r="I184" s="327"/>
      <c r="J184" s="328"/>
    </row>
    <row r="185" spans="1:10" s="74" customFormat="1" ht="15" customHeight="1" x14ac:dyDescent="0.25">
      <c r="A185" s="82" t="s">
        <v>373</v>
      </c>
      <c r="B185" s="327"/>
      <c r="C185" s="327"/>
      <c r="D185" s="327"/>
      <c r="E185" s="327"/>
      <c r="F185" s="327"/>
      <c r="G185" s="327"/>
      <c r="H185" s="327"/>
      <c r="I185" s="327"/>
      <c r="J185" s="328"/>
    </row>
    <row r="186" spans="1:10" s="74" customFormat="1" ht="15" customHeight="1" x14ac:dyDescent="0.25">
      <c r="A186" s="60" t="s">
        <v>385</v>
      </c>
      <c r="B186" s="327"/>
      <c r="C186" s="327"/>
      <c r="D186" s="327"/>
      <c r="E186" s="327"/>
      <c r="F186" s="327"/>
      <c r="G186" s="327"/>
      <c r="H186" s="327"/>
      <c r="I186" s="327"/>
      <c r="J186" s="328"/>
    </row>
    <row r="187" spans="1:10" s="74" customFormat="1" ht="15" customHeight="1" x14ac:dyDescent="0.25">
      <c r="A187" s="332" t="s">
        <v>398</v>
      </c>
      <c r="B187" s="333"/>
      <c r="C187" s="333"/>
      <c r="D187" s="333"/>
      <c r="E187" s="333"/>
      <c r="F187" s="333"/>
      <c r="G187" s="333"/>
      <c r="H187" s="333"/>
      <c r="I187" s="333"/>
      <c r="J187" s="334"/>
    </row>
    <row r="188" spans="1:10" s="74" customFormat="1" ht="15" customHeight="1" x14ac:dyDescent="0.25">
      <c r="A188" s="329"/>
      <c r="B188" s="327"/>
      <c r="C188" s="327"/>
      <c r="D188" s="327"/>
      <c r="E188" s="327"/>
      <c r="F188" s="327"/>
      <c r="G188" s="327"/>
      <c r="H188" s="327"/>
      <c r="I188" s="327"/>
      <c r="J188" s="328"/>
    </row>
    <row r="189" spans="1:10" s="74" customFormat="1" ht="15" customHeight="1" x14ac:dyDescent="0.25">
      <c r="A189" s="329"/>
      <c r="B189" s="327"/>
      <c r="C189" s="327"/>
      <c r="D189" s="327"/>
      <c r="E189" s="327"/>
      <c r="F189" s="327"/>
      <c r="G189" s="327"/>
      <c r="H189" s="327"/>
      <c r="I189" s="327"/>
      <c r="J189" s="328"/>
    </row>
    <row r="190" spans="1:10" s="74" customFormat="1" ht="15" customHeight="1" x14ac:dyDescent="0.25">
      <c r="A190" s="329"/>
      <c r="B190" s="327"/>
      <c r="C190" s="327"/>
      <c r="D190" s="327"/>
      <c r="E190" s="327"/>
      <c r="F190" s="327"/>
      <c r="G190" s="327"/>
      <c r="H190" s="327"/>
      <c r="I190" s="327"/>
      <c r="J190" s="328"/>
    </row>
    <row r="191" spans="1:10" s="74" customFormat="1" ht="15" customHeight="1" x14ac:dyDescent="0.25">
      <c r="A191" s="335" t="s">
        <v>389</v>
      </c>
      <c r="B191" s="336"/>
      <c r="C191" s="336" t="s">
        <v>390</v>
      </c>
      <c r="D191" s="336"/>
      <c r="E191" s="336" t="s">
        <v>356</v>
      </c>
      <c r="F191" s="336"/>
      <c r="G191" s="336" t="s">
        <v>371</v>
      </c>
      <c r="H191" s="336"/>
      <c r="I191" s="336" t="s">
        <v>391</v>
      </c>
      <c r="J191" s="337"/>
    </row>
    <row r="192" spans="1:10" s="74" customFormat="1" ht="15" customHeight="1" thickBot="1" x14ac:dyDescent="0.3">
      <c r="A192" s="330"/>
      <c r="B192" s="331"/>
      <c r="C192" s="331"/>
      <c r="D192" s="331"/>
      <c r="E192" s="331"/>
      <c r="F192" s="331"/>
      <c r="G192" s="331"/>
      <c r="H192" s="331"/>
      <c r="I192" s="331">
        <f>SUM(A192:H192)</f>
        <v>0</v>
      </c>
      <c r="J192" s="338"/>
    </row>
    <row r="193" spans="1:10" s="74" customFormat="1" ht="15" customHeight="1" x14ac:dyDescent="0.25">
      <c r="A193" s="61" t="s">
        <v>378</v>
      </c>
      <c r="B193" s="325"/>
      <c r="C193" s="325"/>
      <c r="D193" s="325"/>
      <c r="E193" s="325"/>
      <c r="F193" s="325"/>
      <c r="G193" s="325"/>
      <c r="H193" s="325"/>
      <c r="I193" s="325"/>
      <c r="J193" s="326"/>
    </row>
    <row r="194" spans="1:10" s="74" customFormat="1" ht="15" customHeight="1" x14ac:dyDescent="0.25">
      <c r="A194" s="82" t="s">
        <v>373</v>
      </c>
      <c r="B194" s="327"/>
      <c r="C194" s="327"/>
      <c r="D194" s="327"/>
      <c r="E194" s="327"/>
      <c r="F194" s="327"/>
      <c r="G194" s="327"/>
      <c r="H194" s="327"/>
      <c r="I194" s="327"/>
      <c r="J194" s="328"/>
    </row>
    <row r="195" spans="1:10" s="74" customFormat="1" ht="15" customHeight="1" x14ac:dyDescent="0.25">
      <c r="A195" s="82" t="s">
        <v>373</v>
      </c>
      <c r="B195" s="327"/>
      <c r="C195" s="327"/>
      <c r="D195" s="327"/>
      <c r="E195" s="327"/>
      <c r="F195" s="327"/>
      <c r="G195" s="327"/>
      <c r="H195" s="327"/>
      <c r="I195" s="327"/>
      <c r="J195" s="328"/>
    </row>
    <row r="196" spans="1:10" s="74" customFormat="1" ht="15" customHeight="1" x14ac:dyDescent="0.25">
      <c r="A196" s="82" t="s">
        <v>373</v>
      </c>
      <c r="B196" s="327"/>
      <c r="C196" s="327"/>
      <c r="D196" s="327"/>
      <c r="E196" s="327"/>
      <c r="F196" s="327"/>
      <c r="G196" s="327"/>
      <c r="H196" s="327"/>
      <c r="I196" s="327"/>
      <c r="J196" s="328"/>
    </row>
    <row r="197" spans="1:10" s="74" customFormat="1" ht="15" customHeight="1" x14ac:dyDescent="0.25">
      <c r="A197" s="82" t="s">
        <v>373</v>
      </c>
      <c r="B197" s="327"/>
      <c r="C197" s="327"/>
      <c r="D197" s="327"/>
      <c r="E197" s="327"/>
      <c r="F197" s="327"/>
      <c r="G197" s="327"/>
      <c r="H197" s="327"/>
      <c r="I197" s="327"/>
      <c r="J197" s="328"/>
    </row>
    <row r="198" spans="1:10" s="74" customFormat="1" ht="15" customHeight="1" x14ac:dyDescent="0.25">
      <c r="A198" s="82" t="s">
        <v>373</v>
      </c>
      <c r="B198" s="327"/>
      <c r="C198" s="327"/>
      <c r="D198" s="327"/>
      <c r="E198" s="327"/>
      <c r="F198" s="327"/>
      <c r="G198" s="327"/>
      <c r="H198" s="327"/>
      <c r="I198" s="327"/>
      <c r="J198" s="328"/>
    </row>
    <row r="199" spans="1:10" s="74" customFormat="1" ht="15" customHeight="1" x14ac:dyDescent="0.25">
      <c r="A199" s="60" t="s">
        <v>386</v>
      </c>
      <c r="B199" s="327"/>
      <c r="C199" s="327"/>
      <c r="D199" s="327"/>
      <c r="E199" s="327"/>
      <c r="F199" s="327"/>
      <c r="G199" s="327"/>
      <c r="H199" s="327"/>
      <c r="I199" s="327"/>
      <c r="J199" s="328"/>
    </row>
    <row r="200" spans="1:10" s="74" customFormat="1" ht="15" customHeight="1" x14ac:dyDescent="0.25">
      <c r="A200" s="332" t="s">
        <v>398</v>
      </c>
      <c r="B200" s="333"/>
      <c r="C200" s="333"/>
      <c r="D200" s="333"/>
      <c r="E200" s="333"/>
      <c r="F200" s="333"/>
      <c r="G200" s="333"/>
      <c r="H200" s="333"/>
      <c r="I200" s="333"/>
      <c r="J200" s="334"/>
    </row>
    <row r="201" spans="1:10" s="74" customFormat="1" ht="15" customHeight="1" x14ac:dyDescent="0.25">
      <c r="A201" s="329"/>
      <c r="B201" s="327"/>
      <c r="C201" s="327"/>
      <c r="D201" s="327"/>
      <c r="E201" s="327"/>
      <c r="F201" s="327"/>
      <c r="G201" s="327"/>
      <c r="H201" s="327"/>
      <c r="I201" s="327"/>
      <c r="J201" s="328"/>
    </row>
    <row r="202" spans="1:10" s="74" customFormat="1" ht="15" customHeight="1" x14ac:dyDescent="0.25">
      <c r="A202" s="329"/>
      <c r="B202" s="327"/>
      <c r="C202" s="327"/>
      <c r="D202" s="327"/>
      <c r="E202" s="327"/>
      <c r="F202" s="327"/>
      <c r="G202" s="327"/>
      <c r="H202" s="327"/>
      <c r="I202" s="327"/>
      <c r="J202" s="328"/>
    </row>
    <row r="203" spans="1:10" ht="15" customHeight="1" x14ac:dyDescent="0.25">
      <c r="A203" s="329"/>
      <c r="B203" s="327"/>
      <c r="C203" s="327"/>
      <c r="D203" s="327"/>
      <c r="E203" s="327"/>
      <c r="F203" s="327"/>
      <c r="G203" s="327"/>
      <c r="H203" s="327"/>
      <c r="I203" s="327"/>
      <c r="J203" s="328"/>
    </row>
    <row r="204" spans="1:10" ht="15" customHeight="1" x14ac:dyDescent="0.25">
      <c r="A204" s="335" t="s">
        <v>389</v>
      </c>
      <c r="B204" s="336"/>
      <c r="C204" s="336" t="s">
        <v>390</v>
      </c>
      <c r="D204" s="336"/>
      <c r="E204" s="336" t="s">
        <v>356</v>
      </c>
      <c r="F204" s="336"/>
      <c r="G204" s="336" t="s">
        <v>371</v>
      </c>
      <c r="H204" s="336"/>
      <c r="I204" s="336" t="s">
        <v>391</v>
      </c>
      <c r="J204" s="337"/>
    </row>
    <row r="205" spans="1:10" s="74" customFormat="1" ht="15" customHeight="1" thickBot="1" x14ac:dyDescent="0.3">
      <c r="A205" s="330"/>
      <c r="B205" s="331"/>
      <c r="C205" s="331"/>
      <c r="D205" s="331"/>
      <c r="E205" s="331"/>
      <c r="F205" s="331"/>
      <c r="G205" s="331"/>
      <c r="H205" s="331"/>
      <c r="I205" s="331">
        <f>SUM(A205:H205)</f>
        <v>0</v>
      </c>
      <c r="J205" s="338"/>
    </row>
    <row r="206" spans="1:10" s="74" customFormat="1" ht="30" customHeight="1" x14ac:dyDescent="0.25">
      <c r="A206" s="339" t="s">
        <v>396</v>
      </c>
      <c r="B206" s="340"/>
      <c r="C206" s="340"/>
      <c r="D206" s="340"/>
      <c r="E206" s="340"/>
      <c r="F206" s="340"/>
      <c r="G206" s="340"/>
      <c r="H206" s="340"/>
      <c r="I206" s="340"/>
      <c r="J206" s="341"/>
    </row>
    <row r="207" spans="1:10" s="74" customFormat="1" ht="24" customHeight="1" thickBot="1" x14ac:dyDescent="0.3">
      <c r="A207" s="342" t="s">
        <v>397</v>
      </c>
      <c r="B207" s="343"/>
      <c r="C207" s="343"/>
      <c r="D207" s="343"/>
      <c r="E207" s="343"/>
      <c r="F207" s="343"/>
      <c r="G207" s="343"/>
      <c r="H207" s="343"/>
      <c r="I207" s="343"/>
      <c r="J207" s="344"/>
    </row>
    <row r="208" spans="1:10" s="74" customFormat="1" ht="15" customHeight="1" x14ac:dyDescent="0.25">
      <c r="A208" s="61" t="s">
        <v>380</v>
      </c>
      <c r="B208" s="325"/>
      <c r="C208" s="325"/>
      <c r="D208" s="325"/>
      <c r="E208" s="325"/>
      <c r="F208" s="325"/>
      <c r="G208" s="325"/>
      <c r="H208" s="325"/>
      <c r="I208" s="325"/>
      <c r="J208" s="326"/>
    </row>
    <row r="209" spans="1:10" s="74" customFormat="1" ht="15" customHeight="1" x14ac:dyDescent="0.25">
      <c r="A209" s="82" t="s">
        <v>373</v>
      </c>
      <c r="B209" s="327"/>
      <c r="C209" s="327"/>
      <c r="D209" s="327"/>
      <c r="E209" s="327"/>
      <c r="F209" s="327"/>
      <c r="G209" s="327"/>
      <c r="H209" s="327"/>
      <c r="I209" s="327"/>
      <c r="J209" s="328"/>
    </row>
    <row r="210" spans="1:10" s="74" customFormat="1" ht="15" customHeight="1" x14ac:dyDescent="0.25">
      <c r="A210" s="82" t="s">
        <v>373</v>
      </c>
      <c r="B210" s="327"/>
      <c r="C210" s="327"/>
      <c r="D210" s="327"/>
      <c r="E210" s="327"/>
      <c r="F210" s="327"/>
      <c r="G210" s="327"/>
      <c r="H210" s="327"/>
      <c r="I210" s="327"/>
      <c r="J210" s="328"/>
    </row>
    <row r="211" spans="1:10" s="74" customFormat="1" ht="15" customHeight="1" x14ac:dyDescent="0.25">
      <c r="A211" s="82" t="s">
        <v>373</v>
      </c>
      <c r="B211" s="327"/>
      <c r="C211" s="327"/>
      <c r="D211" s="327"/>
      <c r="E211" s="327"/>
      <c r="F211" s="327"/>
      <c r="G211" s="327"/>
      <c r="H211" s="327"/>
      <c r="I211" s="327"/>
      <c r="J211" s="328"/>
    </row>
    <row r="212" spans="1:10" s="74" customFormat="1" ht="15" customHeight="1" x14ac:dyDescent="0.25">
      <c r="A212" s="82" t="s">
        <v>373</v>
      </c>
      <c r="B212" s="327"/>
      <c r="C212" s="327"/>
      <c r="D212" s="327"/>
      <c r="E212" s="327"/>
      <c r="F212" s="327"/>
      <c r="G212" s="327"/>
      <c r="H212" s="327"/>
      <c r="I212" s="327"/>
      <c r="J212" s="328"/>
    </row>
    <row r="213" spans="1:10" s="74" customFormat="1" ht="15" customHeight="1" x14ac:dyDescent="0.25">
      <c r="A213" s="82" t="s">
        <v>373</v>
      </c>
      <c r="B213" s="327"/>
      <c r="C213" s="327"/>
      <c r="D213" s="327"/>
      <c r="E213" s="327"/>
      <c r="F213" s="327"/>
      <c r="G213" s="327"/>
      <c r="H213" s="327"/>
      <c r="I213" s="327"/>
      <c r="J213" s="328"/>
    </row>
    <row r="214" spans="1:10" s="74" customFormat="1" ht="15" customHeight="1" x14ac:dyDescent="0.25">
      <c r="A214" s="60" t="s">
        <v>392</v>
      </c>
      <c r="B214" s="327"/>
      <c r="C214" s="327"/>
      <c r="D214" s="327"/>
      <c r="E214" s="327"/>
      <c r="F214" s="327"/>
      <c r="G214" s="327"/>
      <c r="H214" s="327"/>
      <c r="I214" s="327"/>
      <c r="J214" s="328"/>
    </row>
    <row r="215" spans="1:10" s="74" customFormat="1" ht="15" customHeight="1" x14ac:dyDescent="0.25">
      <c r="A215" s="332" t="s">
        <v>398</v>
      </c>
      <c r="B215" s="333"/>
      <c r="C215" s="333"/>
      <c r="D215" s="333"/>
      <c r="E215" s="333"/>
      <c r="F215" s="333"/>
      <c r="G215" s="333"/>
      <c r="H215" s="333"/>
      <c r="I215" s="333"/>
      <c r="J215" s="334"/>
    </row>
    <row r="216" spans="1:10" s="74" customFormat="1" ht="15" customHeight="1" x14ac:dyDescent="0.25">
      <c r="A216" s="329"/>
      <c r="B216" s="327"/>
      <c r="C216" s="327"/>
      <c r="D216" s="327"/>
      <c r="E216" s="327"/>
      <c r="F216" s="327"/>
      <c r="G216" s="327"/>
      <c r="H216" s="327"/>
      <c r="I216" s="327"/>
      <c r="J216" s="328"/>
    </row>
    <row r="217" spans="1:10" s="74" customFormat="1" ht="15" customHeight="1" x14ac:dyDescent="0.25">
      <c r="A217" s="329"/>
      <c r="B217" s="327"/>
      <c r="C217" s="327"/>
      <c r="D217" s="327"/>
      <c r="E217" s="327"/>
      <c r="F217" s="327"/>
      <c r="G217" s="327"/>
      <c r="H217" s="327"/>
      <c r="I217" s="327"/>
      <c r="J217" s="328"/>
    </row>
    <row r="218" spans="1:10" s="74" customFormat="1" ht="15" customHeight="1" x14ac:dyDescent="0.25">
      <c r="A218" s="329"/>
      <c r="B218" s="327"/>
      <c r="C218" s="327"/>
      <c r="D218" s="327"/>
      <c r="E218" s="327"/>
      <c r="F218" s="327"/>
      <c r="G218" s="327"/>
      <c r="H218" s="327"/>
      <c r="I218" s="327"/>
      <c r="J218" s="328"/>
    </row>
    <row r="219" spans="1:10" s="74" customFormat="1" ht="15" customHeight="1" x14ac:dyDescent="0.25">
      <c r="A219" s="335" t="s">
        <v>389</v>
      </c>
      <c r="B219" s="336"/>
      <c r="C219" s="336" t="s">
        <v>390</v>
      </c>
      <c r="D219" s="336"/>
      <c r="E219" s="336" t="s">
        <v>356</v>
      </c>
      <c r="F219" s="336"/>
      <c r="G219" s="336" t="s">
        <v>371</v>
      </c>
      <c r="H219" s="336"/>
      <c r="I219" s="336" t="s">
        <v>391</v>
      </c>
      <c r="J219" s="337"/>
    </row>
    <row r="220" spans="1:10" s="74" customFormat="1" ht="15" customHeight="1" thickBot="1" x14ac:dyDescent="0.3">
      <c r="A220" s="330"/>
      <c r="B220" s="331"/>
      <c r="C220" s="331"/>
      <c r="D220" s="331"/>
      <c r="E220" s="331"/>
      <c r="F220" s="331"/>
      <c r="G220" s="331"/>
      <c r="H220" s="331"/>
      <c r="I220" s="331">
        <f>SUM(A220:H220)</f>
        <v>0</v>
      </c>
      <c r="J220" s="338"/>
    </row>
    <row r="221" spans="1:10" s="74" customFormat="1" ht="15" customHeight="1" x14ac:dyDescent="0.25">
      <c r="A221" s="61" t="s">
        <v>382</v>
      </c>
      <c r="B221" s="325"/>
      <c r="C221" s="325"/>
      <c r="D221" s="325"/>
      <c r="E221" s="325"/>
      <c r="F221" s="325"/>
      <c r="G221" s="325"/>
      <c r="H221" s="325"/>
      <c r="I221" s="325"/>
      <c r="J221" s="326"/>
    </row>
    <row r="222" spans="1:10" s="74" customFormat="1" ht="15" customHeight="1" x14ac:dyDescent="0.25">
      <c r="A222" s="82" t="s">
        <v>373</v>
      </c>
      <c r="B222" s="327"/>
      <c r="C222" s="327"/>
      <c r="D222" s="327"/>
      <c r="E222" s="327"/>
      <c r="F222" s="327"/>
      <c r="G222" s="327"/>
      <c r="H222" s="327"/>
      <c r="I222" s="327"/>
      <c r="J222" s="328"/>
    </row>
    <row r="223" spans="1:10" s="74" customFormat="1" ht="15" customHeight="1" x14ac:dyDescent="0.25">
      <c r="A223" s="82" t="s">
        <v>373</v>
      </c>
      <c r="B223" s="327"/>
      <c r="C223" s="327"/>
      <c r="D223" s="327"/>
      <c r="E223" s="327"/>
      <c r="F223" s="327"/>
      <c r="G223" s="327"/>
      <c r="H223" s="327"/>
      <c r="I223" s="327"/>
      <c r="J223" s="328"/>
    </row>
    <row r="224" spans="1:10" s="74" customFormat="1" ht="15" customHeight="1" x14ac:dyDescent="0.25">
      <c r="A224" s="82" t="s">
        <v>373</v>
      </c>
      <c r="B224" s="327"/>
      <c r="C224" s="327"/>
      <c r="D224" s="327"/>
      <c r="E224" s="327"/>
      <c r="F224" s="327"/>
      <c r="G224" s="327"/>
      <c r="H224" s="327"/>
      <c r="I224" s="327"/>
      <c r="J224" s="328"/>
    </row>
    <row r="225" spans="1:10" s="74" customFormat="1" ht="15" customHeight="1" x14ac:dyDescent="0.25">
      <c r="A225" s="82" t="s">
        <v>373</v>
      </c>
      <c r="B225" s="327"/>
      <c r="C225" s="327"/>
      <c r="D225" s="327"/>
      <c r="E225" s="327"/>
      <c r="F225" s="327"/>
      <c r="G225" s="327"/>
      <c r="H225" s="327"/>
      <c r="I225" s="327"/>
      <c r="J225" s="328"/>
    </row>
    <row r="226" spans="1:10" s="74" customFormat="1" ht="15" customHeight="1" x14ac:dyDescent="0.25">
      <c r="A226" s="82" t="s">
        <v>373</v>
      </c>
      <c r="B226" s="327"/>
      <c r="C226" s="327"/>
      <c r="D226" s="327"/>
      <c r="E226" s="327"/>
      <c r="F226" s="327"/>
      <c r="G226" s="327"/>
      <c r="H226" s="327"/>
      <c r="I226" s="327"/>
      <c r="J226" s="328"/>
    </row>
    <row r="227" spans="1:10" s="74" customFormat="1" ht="15" customHeight="1" x14ac:dyDescent="0.25">
      <c r="A227" s="60" t="s">
        <v>383</v>
      </c>
      <c r="B227" s="327"/>
      <c r="C227" s="327"/>
      <c r="D227" s="327"/>
      <c r="E227" s="327"/>
      <c r="F227" s="327"/>
      <c r="G227" s="327"/>
      <c r="H227" s="327"/>
      <c r="I227" s="327"/>
      <c r="J227" s="328"/>
    </row>
    <row r="228" spans="1:10" s="74" customFormat="1" ht="15" customHeight="1" x14ac:dyDescent="0.25">
      <c r="A228" s="332" t="s">
        <v>398</v>
      </c>
      <c r="B228" s="333"/>
      <c r="C228" s="333"/>
      <c r="D228" s="333"/>
      <c r="E228" s="333"/>
      <c r="F228" s="333"/>
      <c r="G228" s="333"/>
      <c r="H228" s="333"/>
      <c r="I228" s="333"/>
      <c r="J228" s="334"/>
    </row>
    <row r="229" spans="1:10" s="74" customFormat="1" ht="15" customHeight="1" x14ac:dyDescent="0.25">
      <c r="A229" s="329"/>
      <c r="B229" s="327"/>
      <c r="C229" s="327"/>
      <c r="D229" s="327"/>
      <c r="E229" s="327"/>
      <c r="F229" s="327"/>
      <c r="G229" s="327"/>
      <c r="H229" s="327"/>
      <c r="I229" s="327"/>
      <c r="J229" s="328"/>
    </row>
    <row r="230" spans="1:10" s="74" customFormat="1" ht="15" customHeight="1" x14ac:dyDescent="0.25">
      <c r="A230" s="329"/>
      <c r="B230" s="327"/>
      <c r="C230" s="327"/>
      <c r="D230" s="327"/>
      <c r="E230" s="327"/>
      <c r="F230" s="327"/>
      <c r="G230" s="327"/>
      <c r="H230" s="327"/>
      <c r="I230" s="327"/>
      <c r="J230" s="328"/>
    </row>
    <row r="231" spans="1:10" s="74" customFormat="1" ht="15" customHeight="1" x14ac:dyDescent="0.25">
      <c r="A231" s="329"/>
      <c r="B231" s="327"/>
      <c r="C231" s="327"/>
      <c r="D231" s="327"/>
      <c r="E231" s="327"/>
      <c r="F231" s="327"/>
      <c r="G231" s="327"/>
      <c r="H231" s="327"/>
      <c r="I231" s="327"/>
      <c r="J231" s="328"/>
    </row>
    <row r="232" spans="1:10" s="74" customFormat="1" ht="15" customHeight="1" x14ac:dyDescent="0.25">
      <c r="A232" s="335" t="s">
        <v>389</v>
      </c>
      <c r="B232" s="336"/>
      <c r="C232" s="336" t="s">
        <v>390</v>
      </c>
      <c r="D232" s="336"/>
      <c r="E232" s="336" t="s">
        <v>356</v>
      </c>
      <c r="F232" s="336"/>
      <c r="G232" s="336" t="s">
        <v>371</v>
      </c>
      <c r="H232" s="336"/>
      <c r="I232" s="336" t="s">
        <v>391</v>
      </c>
      <c r="J232" s="337"/>
    </row>
    <row r="233" spans="1:10" s="74" customFormat="1" ht="15" customHeight="1" thickBot="1" x14ac:dyDescent="0.3">
      <c r="A233" s="330"/>
      <c r="B233" s="331"/>
      <c r="C233" s="331"/>
      <c r="D233" s="331"/>
      <c r="E233" s="331"/>
      <c r="F233" s="331"/>
      <c r="G233" s="331"/>
      <c r="H233" s="331"/>
      <c r="I233" s="331">
        <f>SUM(A233:H233)</f>
        <v>0</v>
      </c>
      <c r="J233" s="338"/>
    </row>
    <row r="234" spans="1:10" s="74" customFormat="1" ht="15" customHeight="1" x14ac:dyDescent="0.25">
      <c r="A234" s="61" t="s">
        <v>387</v>
      </c>
      <c r="B234" s="325"/>
      <c r="C234" s="325"/>
      <c r="D234" s="325"/>
      <c r="E234" s="325"/>
      <c r="F234" s="325"/>
      <c r="G234" s="325"/>
      <c r="H234" s="325"/>
      <c r="I234" s="325"/>
      <c r="J234" s="326"/>
    </row>
    <row r="235" spans="1:10" s="74" customFormat="1" ht="15" customHeight="1" x14ac:dyDescent="0.25">
      <c r="A235" s="82" t="s">
        <v>373</v>
      </c>
      <c r="B235" s="327"/>
      <c r="C235" s="327"/>
      <c r="D235" s="327"/>
      <c r="E235" s="327"/>
      <c r="F235" s="327"/>
      <c r="G235" s="327"/>
      <c r="H235" s="327"/>
      <c r="I235" s="327"/>
      <c r="J235" s="328"/>
    </row>
    <row r="236" spans="1:10" s="74" customFormat="1" ht="15" customHeight="1" x14ac:dyDescent="0.25">
      <c r="A236" s="82" t="s">
        <v>373</v>
      </c>
      <c r="B236" s="327"/>
      <c r="C236" s="327"/>
      <c r="D236" s="327"/>
      <c r="E236" s="327"/>
      <c r="F236" s="327"/>
      <c r="G236" s="327"/>
      <c r="H236" s="327"/>
      <c r="I236" s="327"/>
      <c r="J236" s="328"/>
    </row>
    <row r="237" spans="1:10" s="74" customFormat="1" ht="15" customHeight="1" x14ac:dyDescent="0.25">
      <c r="A237" s="82" t="s">
        <v>373</v>
      </c>
      <c r="B237" s="327"/>
      <c r="C237" s="327"/>
      <c r="D237" s="327"/>
      <c r="E237" s="327"/>
      <c r="F237" s="327"/>
      <c r="G237" s="327"/>
      <c r="H237" s="327"/>
      <c r="I237" s="327"/>
      <c r="J237" s="328"/>
    </row>
    <row r="238" spans="1:10" s="74" customFormat="1" ht="15" customHeight="1" x14ac:dyDescent="0.25">
      <c r="A238" s="82" t="s">
        <v>373</v>
      </c>
      <c r="B238" s="327"/>
      <c r="C238" s="327"/>
      <c r="D238" s="327"/>
      <c r="E238" s="327"/>
      <c r="F238" s="327"/>
      <c r="G238" s="327"/>
      <c r="H238" s="327"/>
      <c r="I238" s="327"/>
      <c r="J238" s="328"/>
    </row>
    <row r="239" spans="1:10" s="74" customFormat="1" ht="15" customHeight="1" x14ac:dyDescent="0.25">
      <c r="A239" s="82" t="s">
        <v>373</v>
      </c>
      <c r="B239" s="327"/>
      <c r="C239" s="327"/>
      <c r="D239" s="327"/>
      <c r="E239" s="327"/>
      <c r="F239" s="327"/>
      <c r="G239" s="327"/>
      <c r="H239" s="327"/>
      <c r="I239" s="327"/>
      <c r="J239" s="328"/>
    </row>
    <row r="240" spans="1:10" s="74" customFormat="1" ht="15" customHeight="1" x14ac:dyDescent="0.25">
      <c r="A240" s="60" t="s">
        <v>388</v>
      </c>
      <c r="B240" s="327"/>
      <c r="C240" s="327"/>
      <c r="D240" s="327"/>
      <c r="E240" s="327"/>
      <c r="F240" s="327"/>
      <c r="G240" s="327"/>
      <c r="H240" s="327"/>
      <c r="I240" s="327"/>
      <c r="J240" s="328"/>
    </row>
    <row r="241" spans="1:10" s="74" customFormat="1" ht="15" customHeight="1" x14ac:dyDescent="0.25">
      <c r="A241" s="332" t="s">
        <v>398</v>
      </c>
      <c r="B241" s="333"/>
      <c r="C241" s="333"/>
      <c r="D241" s="333"/>
      <c r="E241" s="333"/>
      <c r="F241" s="333"/>
      <c r="G241" s="333"/>
      <c r="H241" s="333"/>
      <c r="I241" s="333"/>
      <c r="J241" s="334"/>
    </row>
    <row r="242" spans="1:10" s="74" customFormat="1" ht="15" customHeight="1" x14ac:dyDescent="0.25">
      <c r="A242" s="329"/>
      <c r="B242" s="327"/>
      <c r="C242" s="327"/>
      <c r="D242" s="327"/>
      <c r="E242" s="327"/>
      <c r="F242" s="327"/>
      <c r="G242" s="327"/>
      <c r="H242" s="327"/>
      <c r="I242" s="327"/>
      <c r="J242" s="328"/>
    </row>
    <row r="243" spans="1:10" s="74" customFormat="1" ht="15" customHeight="1" x14ac:dyDescent="0.25">
      <c r="A243" s="329"/>
      <c r="B243" s="327"/>
      <c r="C243" s="327"/>
      <c r="D243" s="327"/>
      <c r="E243" s="327"/>
      <c r="F243" s="327"/>
      <c r="G243" s="327"/>
      <c r="H243" s="327"/>
      <c r="I243" s="327"/>
      <c r="J243" s="328"/>
    </row>
    <row r="244" spans="1:10" ht="15" customHeight="1" x14ac:dyDescent="0.25">
      <c r="A244" s="329"/>
      <c r="B244" s="327"/>
      <c r="C244" s="327"/>
      <c r="D244" s="327"/>
      <c r="E244" s="327"/>
      <c r="F244" s="327"/>
      <c r="G244" s="327"/>
      <c r="H244" s="327"/>
      <c r="I244" s="327"/>
      <c r="J244" s="328"/>
    </row>
    <row r="245" spans="1:10" ht="15" customHeight="1" x14ac:dyDescent="0.25">
      <c r="A245" s="335" t="s">
        <v>389</v>
      </c>
      <c r="B245" s="336"/>
      <c r="C245" s="336" t="s">
        <v>390</v>
      </c>
      <c r="D245" s="336"/>
      <c r="E245" s="336" t="s">
        <v>356</v>
      </c>
      <c r="F245" s="336"/>
      <c r="G245" s="336" t="s">
        <v>371</v>
      </c>
      <c r="H245" s="336"/>
      <c r="I245" s="336" t="s">
        <v>391</v>
      </c>
      <c r="J245" s="337"/>
    </row>
    <row r="246" spans="1:10" s="74" customFormat="1" ht="15" customHeight="1" thickBot="1" x14ac:dyDescent="0.3">
      <c r="A246" s="330"/>
      <c r="B246" s="331"/>
      <c r="C246" s="331"/>
      <c r="D246" s="331"/>
      <c r="E246" s="331"/>
      <c r="F246" s="331"/>
      <c r="G246" s="331"/>
      <c r="H246" s="331"/>
      <c r="I246" s="331">
        <f>SUM(A246:H246)</f>
        <v>0</v>
      </c>
      <c r="J246" s="338"/>
    </row>
    <row r="247" spans="1:10" ht="30" customHeight="1" thickBot="1" x14ac:dyDescent="0.3">
      <c r="A247" s="211" t="s">
        <v>396</v>
      </c>
      <c r="B247" s="212"/>
      <c r="C247" s="212"/>
      <c r="D247" s="212"/>
      <c r="E247" s="212"/>
      <c r="F247" s="212"/>
      <c r="G247" s="212"/>
      <c r="H247" s="212"/>
      <c r="I247" s="212"/>
      <c r="J247" s="213"/>
    </row>
    <row r="248" spans="1:10" ht="24" customHeight="1" thickBot="1" x14ac:dyDescent="0.3">
      <c r="A248" s="322" t="s">
        <v>399</v>
      </c>
      <c r="B248" s="323"/>
      <c r="C248" s="323"/>
      <c r="D248" s="323"/>
      <c r="E248" s="323"/>
      <c r="F248" s="323"/>
      <c r="G248" s="323"/>
      <c r="H248" s="323"/>
      <c r="I248" s="323"/>
      <c r="J248" s="324"/>
    </row>
    <row r="249" spans="1:10" s="74" customFormat="1" ht="15" customHeight="1" x14ac:dyDescent="0.25">
      <c r="A249" s="61" t="s">
        <v>375</v>
      </c>
      <c r="B249" s="325"/>
      <c r="C249" s="325"/>
      <c r="D249" s="325"/>
      <c r="E249" s="325"/>
      <c r="F249" s="325"/>
      <c r="G249" s="325"/>
      <c r="H249" s="325"/>
      <c r="I249" s="325"/>
      <c r="J249" s="326"/>
    </row>
    <row r="250" spans="1:10" s="74" customFormat="1" ht="15" customHeight="1" x14ac:dyDescent="0.25">
      <c r="A250" s="82" t="s">
        <v>373</v>
      </c>
      <c r="B250" s="327"/>
      <c r="C250" s="327"/>
      <c r="D250" s="327"/>
      <c r="E250" s="327"/>
      <c r="F250" s="327"/>
      <c r="G250" s="327"/>
      <c r="H250" s="327"/>
      <c r="I250" s="327"/>
      <c r="J250" s="328"/>
    </row>
    <row r="251" spans="1:10" s="74" customFormat="1" ht="15" customHeight="1" x14ac:dyDescent="0.25">
      <c r="A251" s="82" t="s">
        <v>373</v>
      </c>
      <c r="B251" s="327"/>
      <c r="C251" s="327"/>
      <c r="D251" s="327"/>
      <c r="E251" s="327"/>
      <c r="F251" s="327"/>
      <c r="G251" s="327"/>
      <c r="H251" s="327"/>
      <c r="I251" s="327"/>
      <c r="J251" s="328"/>
    </row>
    <row r="252" spans="1:10" s="74" customFormat="1" ht="15" customHeight="1" x14ac:dyDescent="0.25">
      <c r="A252" s="82" t="s">
        <v>373</v>
      </c>
      <c r="B252" s="327"/>
      <c r="C252" s="327"/>
      <c r="D252" s="327"/>
      <c r="E252" s="327"/>
      <c r="F252" s="327"/>
      <c r="G252" s="327"/>
      <c r="H252" s="327"/>
      <c r="I252" s="327"/>
      <c r="J252" s="328"/>
    </row>
    <row r="253" spans="1:10" s="74" customFormat="1" ht="15" customHeight="1" x14ac:dyDescent="0.25">
      <c r="A253" s="82" t="s">
        <v>373</v>
      </c>
      <c r="B253" s="327"/>
      <c r="C253" s="327"/>
      <c r="D253" s="327"/>
      <c r="E253" s="327"/>
      <c r="F253" s="327"/>
      <c r="G253" s="327"/>
      <c r="H253" s="327"/>
      <c r="I253" s="327"/>
      <c r="J253" s="328"/>
    </row>
    <row r="254" spans="1:10" s="74" customFormat="1" ht="15" customHeight="1" x14ac:dyDescent="0.25">
      <c r="A254" s="82" t="s">
        <v>373</v>
      </c>
      <c r="B254" s="327"/>
      <c r="C254" s="327"/>
      <c r="D254" s="327"/>
      <c r="E254" s="327"/>
      <c r="F254" s="327"/>
      <c r="G254" s="327"/>
      <c r="H254" s="327"/>
      <c r="I254" s="327"/>
      <c r="J254" s="328"/>
    </row>
    <row r="255" spans="1:10" s="74" customFormat="1" ht="15" customHeight="1" x14ac:dyDescent="0.25">
      <c r="A255" s="60" t="s">
        <v>377</v>
      </c>
      <c r="B255" s="327"/>
      <c r="C255" s="327"/>
      <c r="D255" s="327"/>
      <c r="E255" s="327"/>
      <c r="F255" s="327"/>
      <c r="G255" s="327"/>
      <c r="H255" s="327"/>
      <c r="I255" s="327"/>
      <c r="J255" s="328"/>
    </row>
    <row r="256" spans="1:10" s="74" customFormat="1" ht="15" customHeight="1" x14ac:dyDescent="0.25">
      <c r="A256" s="332" t="s">
        <v>400</v>
      </c>
      <c r="B256" s="333"/>
      <c r="C256" s="333"/>
      <c r="D256" s="333"/>
      <c r="E256" s="333"/>
      <c r="F256" s="333"/>
      <c r="G256" s="333"/>
      <c r="H256" s="333"/>
      <c r="I256" s="333"/>
      <c r="J256" s="334"/>
    </row>
    <row r="257" spans="1:10" s="74" customFormat="1" ht="15" customHeight="1" x14ac:dyDescent="0.25">
      <c r="A257" s="329"/>
      <c r="B257" s="327"/>
      <c r="C257" s="327"/>
      <c r="D257" s="327"/>
      <c r="E257" s="327"/>
      <c r="F257" s="327"/>
      <c r="G257" s="327"/>
      <c r="H257" s="327"/>
      <c r="I257" s="327"/>
      <c r="J257" s="328"/>
    </row>
    <row r="258" spans="1:10" s="74" customFormat="1" ht="15" customHeight="1" x14ac:dyDescent="0.25">
      <c r="A258" s="329"/>
      <c r="B258" s="327"/>
      <c r="C258" s="327"/>
      <c r="D258" s="327"/>
      <c r="E258" s="327"/>
      <c r="F258" s="327"/>
      <c r="G258" s="327"/>
      <c r="H258" s="327"/>
      <c r="I258" s="327"/>
      <c r="J258" s="328"/>
    </row>
    <row r="259" spans="1:10" s="74" customFormat="1" ht="15" customHeight="1" x14ac:dyDescent="0.25">
      <c r="A259" s="329"/>
      <c r="B259" s="327"/>
      <c r="C259" s="327"/>
      <c r="D259" s="327"/>
      <c r="E259" s="327"/>
      <c r="F259" s="327"/>
      <c r="G259" s="327"/>
      <c r="H259" s="327"/>
      <c r="I259" s="327"/>
      <c r="J259" s="328"/>
    </row>
    <row r="260" spans="1:10" s="74" customFormat="1" ht="15" customHeight="1" x14ac:dyDescent="0.25">
      <c r="A260" s="335" t="s">
        <v>389</v>
      </c>
      <c r="B260" s="336"/>
      <c r="C260" s="336" t="s">
        <v>390</v>
      </c>
      <c r="D260" s="336"/>
      <c r="E260" s="336" t="s">
        <v>356</v>
      </c>
      <c r="F260" s="336"/>
      <c r="G260" s="336" t="s">
        <v>371</v>
      </c>
      <c r="H260" s="336"/>
      <c r="I260" s="336" t="s">
        <v>391</v>
      </c>
      <c r="J260" s="337"/>
    </row>
    <row r="261" spans="1:10" s="74" customFormat="1" ht="15" customHeight="1" thickBot="1" x14ac:dyDescent="0.3">
      <c r="A261" s="330"/>
      <c r="B261" s="331"/>
      <c r="C261" s="331"/>
      <c r="D261" s="331"/>
      <c r="E261" s="331"/>
      <c r="F261" s="331"/>
      <c r="G261" s="331"/>
      <c r="H261" s="331"/>
      <c r="I261" s="331">
        <f>SUM(A261:H261)</f>
        <v>0</v>
      </c>
      <c r="J261" s="338"/>
    </row>
    <row r="262" spans="1:10" s="74" customFormat="1" ht="15" customHeight="1" x14ac:dyDescent="0.25">
      <c r="A262" s="61" t="s">
        <v>374</v>
      </c>
      <c r="B262" s="325"/>
      <c r="C262" s="325"/>
      <c r="D262" s="325"/>
      <c r="E262" s="325"/>
      <c r="F262" s="325"/>
      <c r="G262" s="325"/>
      <c r="H262" s="325"/>
      <c r="I262" s="325"/>
      <c r="J262" s="326"/>
    </row>
    <row r="263" spans="1:10" s="74" customFormat="1" ht="15" customHeight="1" x14ac:dyDescent="0.25">
      <c r="A263" s="82" t="s">
        <v>373</v>
      </c>
      <c r="B263" s="327"/>
      <c r="C263" s="327"/>
      <c r="D263" s="327"/>
      <c r="E263" s="327"/>
      <c r="F263" s="327"/>
      <c r="G263" s="327"/>
      <c r="H263" s="327"/>
      <c r="I263" s="327"/>
      <c r="J263" s="328"/>
    </row>
    <row r="264" spans="1:10" s="74" customFormat="1" ht="15" customHeight="1" x14ac:dyDescent="0.25">
      <c r="A264" s="82" t="s">
        <v>373</v>
      </c>
      <c r="B264" s="327"/>
      <c r="C264" s="327"/>
      <c r="D264" s="327"/>
      <c r="E264" s="327"/>
      <c r="F264" s="327"/>
      <c r="G264" s="327"/>
      <c r="H264" s="327"/>
      <c r="I264" s="327"/>
      <c r="J264" s="328"/>
    </row>
    <row r="265" spans="1:10" s="74" customFormat="1" ht="15" customHeight="1" x14ac:dyDescent="0.25">
      <c r="A265" s="82" t="s">
        <v>373</v>
      </c>
      <c r="B265" s="327"/>
      <c r="C265" s="327"/>
      <c r="D265" s="327"/>
      <c r="E265" s="327"/>
      <c r="F265" s="327"/>
      <c r="G265" s="327"/>
      <c r="H265" s="327"/>
      <c r="I265" s="327"/>
      <c r="J265" s="328"/>
    </row>
    <row r="266" spans="1:10" s="74" customFormat="1" ht="15" customHeight="1" x14ac:dyDescent="0.25">
      <c r="A266" s="82" t="s">
        <v>373</v>
      </c>
      <c r="B266" s="327"/>
      <c r="C266" s="327"/>
      <c r="D266" s="327"/>
      <c r="E266" s="327"/>
      <c r="F266" s="327"/>
      <c r="G266" s="327"/>
      <c r="H266" s="327"/>
      <c r="I266" s="327"/>
      <c r="J266" s="328"/>
    </row>
    <row r="267" spans="1:10" s="74" customFormat="1" ht="15" customHeight="1" x14ac:dyDescent="0.25">
      <c r="A267" s="82" t="s">
        <v>373</v>
      </c>
      <c r="B267" s="327"/>
      <c r="C267" s="327"/>
      <c r="D267" s="327"/>
      <c r="E267" s="327"/>
      <c r="F267" s="327"/>
      <c r="G267" s="327"/>
      <c r="H267" s="327"/>
      <c r="I267" s="327"/>
      <c r="J267" s="328"/>
    </row>
    <row r="268" spans="1:10" s="74" customFormat="1" ht="15" customHeight="1" x14ac:dyDescent="0.25">
      <c r="A268" s="60" t="s">
        <v>385</v>
      </c>
      <c r="B268" s="327"/>
      <c r="C268" s="327"/>
      <c r="D268" s="327"/>
      <c r="E268" s="327"/>
      <c r="F268" s="327"/>
      <c r="G268" s="327"/>
      <c r="H268" s="327"/>
      <c r="I268" s="327"/>
      <c r="J268" s="328"/>
    </row>
    <row r="269" spans="1:10" s="74" customFormat="1" ht="15" customHeight="1" x14ac:dyDescent="0.25">
      <c r="A269" s="332" t="s">
        <v>400</v>
      </c>
      <c r="B269" s="333"/>
      <c r="C269" s="333"/>
      <c r="D269" s="333"/>
      <c r="E269" s="333"/>
      <c r="F269" s="333"/>
      <c r="G269" s="333"/>
      <c r="H269" s="333"/>
      <c r="I269" s="333"/>
      <c r="J269" s="334"/>
    </row>
    <row r="270" spans="1:10" s="74" customFormat="1" ht="15" customHeight="1" x14ac:dyDescent="0.25">
      <c r="A270" s="329"/>
      <c r="B270" s="327"/>
      <c r="C270" s="327"/>
      <c r="D270" s="327"/>
      <c r="E270" s="327"/>
      <c r="F270" s="327"/>
      <c r="G270" s="327"/>
      <c r="H270" s="327"/>
      <c r="I270" s="327"/>
      <c r="J270" s="328"/>
    </row>
    <row r="271" spans="1:10" s="74" customFormat="1" ht="15" customHeight="1" x14ac:dyDescent="0.25">
      <c r="A271" s="329"/>
      <c r="B271" s="327"/>
      <c r="C271" s="327"/>
      <c r="D271" s="327"/>
      <c r="E271" s="327"/>
      <c r="F271" s="327"/>
      <c r="G271" s="327"/>
      <c r="H271" s="327"/>
      <c r="I271" s="327"/>
      <c r="J271" s="328"/>
    </row>
    <row r="272" spans="1:10" s="74" customFormat="1" ht="15" customHeight="1" x14ac:dyDescent="0.25">
      <c r="A272" s="329"/>
      <c r="B272" s="327"/>
      <c r="C272" s="327"/>
      <c r="D272" s="327"/>
      <c r="E272" s="327"/>
      <c r="F272" s="327"/>
      <c r="G272" s="327"/>
      <c r="H272" s="327"/>
      <c r="I272" s="327"/>
      <c r="J272" s="328"/>
    </row>
    <row r="273" spans="1:10" s="74" customFormat="1" ht="15" customHeight="1" x14ac:dyDescent="0.25">
      <c r="A273" s="335" t="s">
        <v>389</v>
      </c>
      <c r="B273" s="336"/>
      <c r="C273" s="336" t="s">
        <v>390</v>
      </c>
      <c r="D273" s="336"/>
      <c r="E273" s="336" t="s">
        <v>356</v>
      </c>
      <c r="F273" s="336"/>
      <c r="G273" s="336" t="s">
        <v>371</v>
      </c>
      <c r="H273" s="336"/>
      <c r="I273" s="336" t="s">
        <v>391</v>
      </c>
      <c r="J273" s="337"/>
    </row>
    <row r="274" spans="1:10" s="74" customFormat="1" ht="15" customHeight="1" thickBot="1" x14ac:dyDescent="0.3">
      <c r="A274" s="330"/>
      <c r="B274" s="331"/>
      <c r="C274" s="331"/>
      <c r="D274" s="331"/>
      <c r="E274" s="331"/>
      <c r="F274" s="331"/>
      <c r="G274" s="331"/>
      <c r="H274" s="331"/>
      <c r="I274" s="331">
        <f>SUM(A274:H274)</f>
        <v>0</v>
      </c>
      <c r="J274" s="338"/>
    </row>
    <row r="275" spans="1:10" s="74" customFormat="1" ht="15" customHeight="1" x14ac:dyDescent="0.25">
      <c r="A275" s="61" t="s">
        <v>378</v>
      </c>
      <c r="B275" s="325"/>
      <c r="C275" s="325"/>
      <c r="D275" s="325"/>
      <c r="E275" s="325"/>
      <c r="F275" s="325"/>
      <c r="G275" s="325"/>
      <c r="H275" s="325"/>
      <c r="I275" s="325"/>
      <c r="J275" s="326"/>
    </row>
    <row r="276" spans="1:10" s="74" customFormat="1" ht="15" customHeight="1" x14ac:dyDescent="0.25">
      <c r="A276" s="82" t="s">
        <v>373</v>
      </c>
      <c r="B276" s="327"/>
      <c r="C276" s="327"/>
      <c r="D276" s="327"/>
      <c r="E276" s="327"/>
      <c r="F276" s="327"/>
      <c r="G276" s="327"/>
      <c r="H276" s="327"/>
      <c r="I276" s="327"/>
      <c r="J276" s="328"/>
    </row>
    <row r="277" spans="1:10" s="74" customFormat="1" ht="15" customHeight="1" x14ac:dyDescent="0.25">
      <c r="A277" s="82" t="s">
        <v>373</v>
      </c>
      <c r="B277" s="327"/>
      <c r="C277" s="327"/>
      <c r="D277" s="327"/>
      <c r="E277" s="327"/>
      <c r="F277" s="327"/>
      <c r="G277" s="327"/>
      <c r="H277" s="327"/>
      <c r="I277" s="327"/>
      <c r="J277" s="328"/>
    </row>
    <row r="278" spans="1:10" s="74" customFormat="1" ht="15" customHeight="1" x14ac:dyDescent="0.25">
      <c r="A278" s="82" t="s">
        <v>373</v>
      </c>
      <c r="B278" s="327"/>
      <c r="C278" s="327"/>
      <c r="D278" s="327"/>
      <c r="E278" s="327"/>
      <c r="F278" s="327"/>
      <c r="G278" s="327"/>
      <c r="H278" s="327"/>
      <c r="I278" s="327"/>
      <c r="J278" s="328"/>
    </row>
    <row r="279" spans="1:10" s="74" customFormat="1" ht="15" customHeight="1" x14ac:dyDescent="0.25">
      <c r="A279" s="82" t="s">
        <v>373</v>
      </c>
      <c r="B279" s="327"/>
      <c r="C279" s="327"/>
      <c r="D279" s="327"/>
      <c r="E279" s="327"/>
      <c r="F279" s="327"/>
      <c r="G279" s="327"/>
      <c r="H279" s="327"/>
      <c r="I279" s="327"/>
      <c r="J279" s="328"/>
    </row>
    <row r="280" spans="1:10" s="74" customFormat="1" ht="15" customHeight="1" x14ac:dyDescent="0.25">
      <c r="A280" s="82" t="s">
        <v>373</v>
      </c>
      <c r="B280" s="327"/>
      <c r="C280" s="327"/>
      <c r="D280" s="327"/>
      <c r="E280" s="327"/>
      <c r="F280" s="327"/>
      <c r="G280" s="327"/>
      <c r="H280" s="327"/>
      <c r="I280" s="327"/>
      <c r="J280" s="328"/>
    </row>
    <row r="281" spans="1:10" s="74" customFormat="1" ht="15" customHeight="1" x14ac:dyDescent="0.25">
      <c r="A281" s="60" t="s">
        <v>386</v>
      </c>
      <c r="B281" s="327"/>
      <c r="C281" s="327"/>
      <c r="D281" s="327"/>
      <c r="E281" s="327"/>
      <c r="F281" s="327"/>
      <c r="G281" s="327"/>
      <c r="H281" s="327"/>
      <c r="I281" s="327"/>
      <c r="J281" s="328"/>
    </row>
    <row r="282" spans="1:10" s="74" customFormat="1" ht="15" customHeight="1" x14ac:dyDescent="0.25">
      <c r="A282" s="332" t="s">
        <v>400</v>
      </c>
      <c r="B282" s="333"/>
      <c r="C282" s="333"/>
      <c r="D282" s="333"/>
      <c r="E282" s="333"/>
      <c r="F282" s="333"/>
      <c r="G282" s="333"/>
      <c r="H282" s="333"/>
      <c r="I282" s="333"/>
      <c r="J282" s="334"/>
    </row>
    <row r="283" spans="1:10" s="74" customFormat="1" ht="15" customHeight="1" x14ac:dyDescent="0.25">
      <c r="A283" s="329"/>
      <c r="B283" s="327"/>
      <c r="C283" s="327"/>
      <c r="D283" s="327"/>
      <c r="E283" s="327"/>
      <c r="F283" s="327"/>
      <c r="G283" s="327"/>
      <c r="H283" s="327"/>
      <c r="I283" s="327"/>
      <c r="J283" s="328"/>
    </row>
    <row r="284" spans="1:10" s="74" customFormat="1" ht="15" customHeight="1" x14ac:dyDescent="0.25">
      <c r="A284" s="329"/>
      <c r="B284" s="327"/>
      <c r="C284" s="327"/>
      <c r="D284" s="327"/>
      <c r="E284" s="327"/>
      <c r="F284" s="327"/>
      <c r="G284" s="327"/>
      <c r="H284" s="327"/>
      <c r="I284" s="327"/>
      <c r="J284" s="328"/>
    </row>
    <row r="285" spans="1:10" ht="15" customHeight="1" x14ac:dyDescent="0.25">
      <c r="A285" s="329"/>
      <c r="B285" s="327"/>
      <c r="C285" s="327"/>
      <c r="D285" s="327"/>
      <c r="E285" s="327"/>
      <c r="F285" s="327"/>
      <c r="G285" s="327"/>
      <c r="H285" s="327"/>
      <c r="I285" s="327"/>
      <c r="J285" s="328"/>
    </row>
    <row r="286" spans="1:10" ht="15" customHeight="1" x14ac:dyDescent="0.25">
      <c r="A286" s="335" t="s">
        <v>389</v>
      </c>
      <c r="B286" s="336"/>
      <c r="C286" s="336" t="s">
        <v>390</v>
      </c>
      <c r="D286" s="336"/>
      <c r="E286" s="336" t="s">
        <v>356</v>
      </c>
      <c r="F286" s="336"/>
      <c r="G286" s="336" t="s">
        <v>371</v>
      </c>
      <c r="H286" s="336"/>
      <c r="I286" s="336" t="s">
        <v>391</v>
      </c>
      <c r="J286" s="337"/>
    </row>
    <row r="287" spans="1:10" s="74" customFormat="1" ht="15" customHeight="1" thickBot="1" x14ac:dyDescent="0.3">
      <c r="A287" s="330"/>
      <c r="B287" s="331"/>
      <c r="C287" s="331"/>
      <c r="D287" s="331"/>
      <c r="E287" s="331"/>
      <c r="F287" s="331"/>
      <c r="G287" s="331"/>
      <c r="H287" s="331"/>
      <c r="I287" s="331">
        <f>SUM(A287:H287)</f>
        <v>0</v>
      </c>
      <c r="J287" s="338"/>
    </row>
    <row r="288" spans="1:10" s="74" customFormat="1" ht="30" customHeight="1" x14ac:dyDescent="0.25">
      <c r="A288" s="339" t="s">
        <v>396</v>
      </c>
      <c r="B288" s="340"/>
      <c r="C288" s="340"/>
      <c r="D288" s="340"/>
      <c r="E288" s="340"/>
      <c r="F288" s="340"/>
      <c r="G288" s="340"/>
      <c r="H288" s="340"/>
      <c r="I288" s="340"/>
      <c r="J288" s="341"/>
    </row>
    <row r="289" spans="1:10" s="74" customFormat="1" ht="24" customHeight="1" thickBot="1" x14ac:dyDescent="0.3">
      <c r="A289" s="342" t="s">
        <v>399</v>
      </c>
      <c r="B289" s="343"/>
      <c r="C289" s="343"/>
      <c r="D289" s="343"/>
      <c r="E289" s="343"/>
      <c r="F289" s="343"/>
      <c r="G289" s="343"/>
      <c r="H289" s="343"/>
      <c r="I289" s="343"/>
      <c r="J289" s="344"/>
    </row>
    <row r="290" spans="1:10" s="74" customFormat="1" ht="15" customHeight="1" x14ac:dyDescent="0.25">
      <c r="A290" s="61" t="s">
        <v>380</v>
      </c>
      <c r="B290" s="325"/>
      <c r="C290" s="325"/>
      <c r="D290" s="325"/>
      <c r="E290" s="325"/>
      <c r="F290" s="325"/>
      <c r="G290" s="325"/>
      <c r="H290" s="325"/>
      <c r="I290" s="325"/>
      <c r="J290" s="326"/>
    </row>
    <row r="291" spans="1:10" s="74" customFormat="1" ht="15" customHeight="1" x14ac:dyDescent="0.25">
      <c r="A291" s="82" t="s">
        <v>373</v>
      </c>
      <c r="B291" s="327"/>
      <c r="C291" s="327"/>
      <c r="D291" s="327"/>
      <c r="E291" s="327"/>
      <c r="F291" s="327"/>
      <c r="G291" s="327"/>
      <c r="H291" s="327"/>
      <c r="I291" s="327"/>
      <c r="J291" s="328"/>
    </row>
    <row r="292" spans="1:10" s="74" customFormat="1" ht="15" customHeight="1" x14ac:dyDescent="0.25">
      <c r="A292" s="82" t="s">
        <v>373</v>
      </c>
      <c r="B292" s="327"/>
      <c r="C292" s="327"/>
      <c r="D292" s="327"/>
      <c r="E292" s="327"/>
      <c r="F292" s="327"/>
      <c r="G292" s="327"/>
      <c r="H292" s="327"/>
      <c r="I292" s="327"/>
      <c r="J292" s="328"/>
    </row>
    <row r="293" spans="1:10" s="74" customFormat="1" ht="15" customHeight="1" x14ac:dyDescent="0.25">
      <c r="A293" s="82" t="s">
        <v>373</v>
      </c>
      <c r="B293" s="327"/>
      <c r="C293" s="327"/>
      <c r="D293" s="327"/>
      <c r="E293" s="327"/>
      <c r="F293" s="327"/>
      <c r="G293" s="327"/>
      <c r="H293" s="327"/>
      <c r="I293" s="327"/>
      <c r="J293" s="328"/>
    </row>
    <row r="294" spans="1:10" s="74" customFormat="1" ht="15" customHeight="1" x14ac:dyDescent="0.25">
      <c r="A294" s="82" t="s">
        <v>373</v>
      </c>
      <c r="B294" s="327"/>
      <c r="C294" s="327"/>
      <c r="D294" s="327"/>
      <c r="E294" s="327"/>
      <c r="F294" s="327"/>
      <c r="G294" s="327"/>
      <c r="H294" s="327"/>
      <c r="I294" s="327"/>
      <c r="J294" s="328"/>
    </row>
    <row r="295" spans="1:10" s="74" customFormat="1" ht="15" customHeight="1" x14ac:dyDescent="0.25">
      <c r="A295" s="82" t="s">
        <v>373</v>
      </c>
      <c r="B295" s="327"/>
      <c r="C295" s="327"/>
      <c r="D295" s="327"/>
      <c r="E295" s="327"/>
      <c r="F295" s="327"/>
      <c r="G295" s="327"/>
      <c r="H295" s="327"/>
      <c r="I295" s="327"/>
      <c r="J295" s="328"/>
    </row>
    <row r="296" spans="1:10" s="74" customFormat="1" ht="15" customHeight="1" x14ac:dyDescent="0.25">
      <c r="A296" s="60" t="s">
        <v>392</v>
      </c>
      <c r="B296" s="327"/>
      <c r="C296" s="327"/>
      <c r="D296" s="327"/>
      <c r="E296" s="327"/>
      <c r="F296" s="327"/>
      <c r="G296" s="327"/>
      <c r="H296" s="327"/>
      <c r="I296" s="327"/>
      <c r="J296" s="328"/>
    </row>
    <row r="297" spans="1:10" s="74" customFormat="1" ht="15" customHeight="1" x14ac:dyDescent="0.25">
      <c r="A297" s="332" t="s">
        <v>400</v>
      </c>
      <c r="B297" s="333"/>
      <c r="C297" s="333"/>
      <c r="D297" s="333"/>
      <c r="E297" s="333"/>
      <c r="F297" s="333"/>
      <c r="G297" s="333"/>
      <c r="H297" s="333"/>
      <c r="I297" s="333"/>
      <c r="J297" s="334"/>
    </row>
    <row r="298" spans="1:10" s="74" customFormat="1" ht="15" customHeight="1" x14ac:dyDescent="0.25">
      <c r="A298" s="329"/>
      <c r="B298" s="327"/>
      <c r="C298" s="327"/>
      <c r="D298" s="327"/>
      <c r="E298" s="327"/>
      <c r="F298" s="327"/>
      <c r="G298" s="327"/>
      <c r="H298" s="327"/>
      <c r="I298" s="327"/>
      <c r="J298" s="328"/>
    </row>
    <row r="299" spans="1:10" s="74" customFormat="1" ht="15" customHeight="1" x14ac:dyDescent="0.25">
      <c r="A299" s="329"/>
      <c r="B299" s="327"/>
      <c r="C299" s="327"/>
      <c r="D299" s="327"/>
      <c r="E299" s="327"/>
      <c r="F299" s="327"/>
      <c r="G299" s="327"/>
      <c r="H299" s="327"/>
      <c r="I299" s="327"/>
      <c r="J299" s="328"/>
    </row>
    <row r="300" spans="1:10" s="74" customFormat="1" ht="15" customHeight="1" x14ac:dyDescent="0.25">
      <c r="A300" s="329"/>
      <c r="B300" s="327"/>
      <c r="C300" s="327"/>
      <c r="D300" s="327"/>
      <c r="E300" s="327"/>
      <c r="F300" s="327"/>
      <c r="G300" s="327"/>
      <c r="H300" s="327"/>
      <c r="I300" s="327"/>
      <c r="J300" s="328"/>
    </row>
    <row r="301" spans="1:10" s="74" customFormat="1" ht="15" customHeight="1" x14ac:dyDescent="0.25">
      <c r="A301" s="335" t="s">
        <v>389</v>
      </c>
      <c r="B301" s="336"/>
      <c r="C301" s="336" t="s">
        <v>390</v>
      </c>
      <c r="D301" s="336"/>
      <c r="E301" s="336" t="s">
        <v>356</v>
      </c>
      <c r="F301" s="336"/>
      <c r="G301" s="336" t="s">
        <v>371</v>
      </c>
      <c r="H301" s="336"/>
      <c r="I301" s="336" t="s">
        <v>391</v>
      </c>
      <c r="J301" s="337"/>
    </row>
    <row r="302" spans="1:10" s="74" customFormat="1" ht="15" customHeight="1" thickBot="1" x14ac:dyDescent="0.3">
      <c r="A302" s="330"/>
      <c r="B302" s="331"/>
      <c r="C302" s="331"/>
      <c r="D302" s="331"/>
      <c r="E302" s="331"/>
      <c r="F302" s="331"/>
      <c r="G302" s="331"/>
      <c r="H302" s="331"/>
      <c r="I302" s="331">
        <f>SUM(A302:H302)</f>
        <v>0</v>
      </c>
      <c r="J302" s="338"/>
    </row>
    <row r="303" spans="1:10" s="74" customFormat="1" ht="15" customHeight="1" x14ac:dyDescent="0.25">
      <c r="A303" s="61" t="s">
        <v>382</v>
      </c>
      <c r="B303" s="325"/>
      <c r="C303" s="325"/>
      <c r="D303" s="325"/>
      <c r="E303" s="325"/>
      <c r="F303" s="325"/>
      <c r="G303" s="325"/>
      <c r="H303" s="325"/>
      <c r="I303" s="325"/>
      <c r="J303" s="326"/>
    </row>
    <row r="304" spans="1:10" s="74" customFormat="1" ht="15" customHeight="1" x14ac:dyDescent="0.25">
      <c r="A304" s="82" t="s">
        <v>373</v>
      </c>
      <c r="B304" s="327"/>
      <c r="C304" s="327"/>
      <c r="D304" s="327"/>
      <c r="E304" s="327"/>
      <c r="F304" s="327"/>
      <c r="G304" s="327"/>
      <c r="H304" s="327"/>
      <c r="I304" s="327"/>
      <c r="J304" s="328"/>
    </row>
    <row r="305" spans="1:10" s="74" customFormat="1" ht="15" customHeight="1" x14ac:dyDescent="0.25">
      <c r="A305" s="82" t="s">
        <v>373</v>
      </c>
      <c r="B305" s="327"/>
      <c r="C305" s="327"/>
      <c r="D305" s="327"/>
      <c r="E305" s="327"/>
      <c r="F305" s="327"/>
      <c r="G305" s="327"/>
      <c r="H305" s="327"/>
      <c r="I305" s="327"/>
      <c r="J305" s="328"/>
    </row>
    <row r="306" spans="1:10" s="74" customFormat="1" ht="15" customHeight="1" x14ac:dyDescent="0.25">
      <c r="A306" s="82" t="s">
        <v>373</v>
      </c>
      <c r="B306" s="327"/>
      <c r="C306" s="327"/>
      <c r="D306" s="327"/>
      <c r="E306" s="327"/>
      <c r="F306" s="327"/>
      <c r="G306" s="327"/>
      <c r="H306" s="327"/>
      <c r="I306" s="327"/>
      <c r="J306" s="328"/>
    </row>
    <row r="307" spans="1:10" s="74" customFormat="1" ht="15" customHeight="1" x14ac:dyDescent="0.25">
      <c r="A307" s="82" t="s">
        <v>373</v>
      </c>
      <c r="B307" s="327"/>
      <c r="C307" s="327"/>
      <c r="D307" s="327"/>
      <c r="E307" s="327"/>
      <c r="F307" s="327"/>
      <c r="G307" s="327"/>
      <c r="H307" s="327"/>
      <c r="I307" s="327"/>
      <c r="J307" s="328"/>
    </row>
    <row r="308" spans="1:10" s="74" customFormat="1" ht="15" customHeight="1" x14ac:dyDescent="0.25">
      <c r="A308" s="82" t="s">
        <v>373</v>
      </c>
      <c r="B308" s="327"/>
      <c r="C308" s="327"/>
      <c r="D308" s="327"/>
      <c r="E308" s="327"/>
      <c r="F308" s="327"/>
      <c r="G308" s="327"/>
      <c r="H308" s="327"/>
      <c r="I308" s="327"/>
      <c r="J308" s="328"/>
    </row>
    <row r="309" spans="1:10" s="74" customFormat="1" ht="15" customHeight="1" x14ac:dyDescent="0.25">
      <c r="A309" s="60" t="s">
        <v>383</v>
      </c>
      <c r="B309" s="327"/>
      <c r="C309" s="327"/>
      <c r="D309" s="327"/>
      <c r="E309" s="327"/>
      <c r="F309" s="327"/>
      <c r="G309" s="327"/>
      <c r="H309" s="327"/>
      <c r="I309" s="327"/>
      <c r="J309" s="328"/>
    </row>
    <row r="310" spans="1:10" s="74" customFormat="1" ht="15" customHeight="1" x14ac:dyDescent="0.25">
      <c r="A310" s="332" t="s">
        <v>400</v>
      </c>
      <c r="B310" s="333"/>
      <c r="C310" s="333"/>
      <c r="D310" s="333"/>
      <c r="E310" s="333"/>
      <c r="F310" s="333"/>
      <c r="G310" s="333"/>
      <c r="H310" s="333"/>
      <c r="I310" s="333"/>
      <c r="J310" s="334"/>
    </row>
    <row r="311" spans="1:10" s="74" customFormat="1" ht="15" customHeight="1" x14ac:dyDescent="0.25">
      <c r="A311" s="329"/>
      <c r="B311" s="327"/>
      <c r="C311" s="327"/>
      <c r="D311" s="327"/>
      <c r="E311" s="327"/>
      <c r="F311" s="327"/>
      <c r="G311" s="327"/>
      <c r="H311" s="327"/>
      <c r="I311" s="327"/>
      <c r="J311" s="328"/>
    </row>
    <row r="312" spans="1:10" s="74" customFormat="1" ht="15" customHeight="1" x14ac:dyDescent="0.25">
      <c r="A312" s="329"/>
      <c r="B312" s="327"/>
      <c r="C312" s="327"/>
      <c r="D312" s="327"/>
      <c r="E312" s="327"/>
      <c r="F312" s="327"/>
      <c r="G312" s="327"/>
      <c r="H312" s="327"/>
      <c r="I312" s="327"/>
      <c r="J312" s="328"/>
    </row>
    <row r="313" spans="1:10" s="74" customFormat="1" ht="15" customHeight="1" x14ac:dyDescent="0.25">
      <c r="A313" s="329"/>
      <c r="B313" s="327"/>
      <c r="C313" s="327"/>
      <c r="D313" s="327"/>
      <c r="E313" s="327"/>
      <c r="F313" s="327"/>
      <c r="G313" s="327"/>
      <c r="H313" s="327"/>
      <c r="I313" s="327"/>
      <c r="J313" s="328"/>
    </row>
    <row r="314" spans="1:10" s="74" customFormat="1" ht="15" customHeight="1" x14ac:dyDescent="0.25">
      <c r="A314" s="335" t="s">
        <v>389</v>
      </c>
      <c r="B314" s="336"/>
      <c r="C314" s="336" t="s">
        <v>390</v>
      </c>
      <c r="D314" s="336"/>
      <c r="E314" s="336" t="s">
        <v>356</v>
      </c>
      <c r="F314" s="336"/>
      <c r="G314" s="336" t="s">
        <v>371</v>
      </c>
      <c r="H314" s="336"/>
      <c r="I314" s="336" t="s">
        <v>391</v>
      </c>
      <c r="J314" s="337"/>
    </row>
    <row r="315" spans="1:10" s="74" customFormat="1" ht="15" customHeight="1" thickBot="1" x14ac:dyDescent="0.3">
      <c r="A315" s="330"/>
      <c r="B315" s="331"/>
      <c r="C315" s="331"/>
      <c r="D315" s="331"/>
      <c r="E315" s="331"/>
      <c r="F315" s="331"/>
      <c r="G315" s="331"/>
      <c r="H315" s="331"/>
      <c r="I315" s="331">
        <f>SUM(A315:H315)</f>
        <v>0</v>
      </c>
      <c r="J315" s="338"/>
    </row>
    <row r="316" spans="1:10" s="74" customFormat="1" ht="15" customHeight="1" x14ac:dyDescent="0.25">
      <c r="A316" s="61" t="s">
        <v>387</v>
      </c>
      <c r="B316" s="325"/>
      <c r="C316" s="325"/>
      <c r="D316" s="325"/>
      <c r="E316" s="325"/>
      <c r="F316" s="325"/>
      <c r="G316" s="325"/>
      <c r="H316" s="325"/>
      <c r="I316" s="325"/>
      <c r="J316" s="326"/>
    </row>
    <row r="317" spans="1:10" s="74" customFormat="1" ht="15" customHeight="1" x14ac:dyDescent="0.25">
      <c r="A317" s="82" t="s">
        <v>373</v>
      </c>
      <c r="B317" s="327"/>
      <c r="C317" s="327"/>
      <c r="D317" s="327"/>
      <c r="E317" s="327"/>
      <c r="F317" s="327"/>
      <c r="G317" s="327"/>
      <c r="H317" s="327"/>
      <c r="I317" s="327"/>
      <c r="J317" s="328"/>
    </row>
    <row r="318" spans="1:10" s="74" customFormat="1" ht="15" customHeight="1" x14ac:dyDescent="0.25">
      <c r="A318" s="82" t="s">
        <v>373</v>
      </c>
      <c r="B318" s="327"/>
      <c r="C318" s="327"/>
      <c r="D318" s="327"/>
      <c r="E318" s="327"/>
      <c r="F318" s="327"/>
      <c r="G318" s="327"/>
      <c r="H318" s="327"/>
      <c r="I318" s="327"/>
      <c r="J318" s="328"/>
    </row>
    <row r="319" spans="1:10" s="74" customFormat="1" ht="15" customHeight="1" x14ac:dyDescent="0.25">
      <c r="A319" s="82" t="s">
        <v>373</v>
      </c>
      <c r="B319" s="327"/>
      <c r="C319" s="327"/>
      <c r="D319" s="327"/>
      <c r="E319" s="327"/>
      <c r="F319" s="327"/>
      <c r="G319" s="327"/>
      <c r="H319" s="327"/>
      <c r="I319" s="327"/>
      <c r="J319" s="328"/>
    </row>
    <row r="320" spans="1:10" s="74" customFormat="1" ht="15" customHeight="1" x14ac:dyDescent="0.25">
      <c r="A320" s="82" t="s">
        <v>373</v>
      </c>
      <c r="B320" s="327"/>
      <c r="C320" s="327"/>
      <c r="D320" s="327"/>
      <c r="E320" s="327"/>
      <c r="F320" s="327"/>
      <c r="G320" s="327"/>
      <c r="H320" s="327"/>
      <c r="I320" s="327"/>
      <c r="J320" s="328"/>
    </row>
    <row r="321" spans="1:10" s="74" customFormat="1" ht="15" customHeight="1" x14ac:dyDescent="0.25">
      <c r="A321" s="82" t="s">
        <v>373</v>
      </c>
      <c r="B321" s="327"/>
      <c r="C321" s="327"/>
      <c r="D321" s="327"/>
      <c r="E321" s="327"/>
      <c r="F321" s="327"/>
      <c r="G321" s="327"/>
      <c r="H321" s="327"/>
      <c r="I321" s="327"/>
      <c r="J321" s="328"/>
    </row>
    <row r="322" spans="1:10" s="74" customFormat="1" ht="15" customHeight="1" x14ac:dyDescent="0.25">
      <c r="A322" s="60" t="s">
        <v>388</v>
      </c>
      <c r="B322" s="327"/>
      <c r="C322" s="327"/>
      <c r="D322" s="327"/>
      <c r="E322" s="327"/>
      <c r="F322" s="327"/>
      <c r="G322" s="327"/>
      <c r="H322" s="327"/>
      <c r="I322" s="327"/>
      <c r="J322" s="328"/>
    </row>
    <row r="323" spans="1:10" s="74" customFormat="1" ht="15" customHeight="1" x14ac:dyDescent="0.25">
      <c r="A323" s="332" t="s">
        <v>400</v>
      </c>
      <c r="B323" s="333"/>
      <c r="C323" s="333"/>
      <c r="D323" s="333"/>
      <c r="E323" s="333"/>
      <c r="F323" s="333"/>
      <c r="G323" s="333"/>
      <c r="H323" s="333"/>
      <c r="I323" s="333"/>
      <c r="J323" s="334"/>
    </row>
    <row r="324" spans="1:10" s="74" customFormat="1" ht="15" customHeight="1" x14ac:dyDescent="0.25">
      <c r="A324" s="329"/>
      <c r="B324" s="327"/>
      <c r="C324" s="327"/>
      <c r="D324" s="327"/>
      <c r="E324" s="327"/>
      <c r="F324" s="327"/>
      <c r="G324" s="327"/>
      <c r="H324" s="327"/>
      <c r="I324" s="327"/>
      <c r="J324" s="328"/>
    </row>
    <row r="325" spans="1:10" s="74" customFormat="1" ht="15" customHeight="1" x14ac:dyDescent="0.25">
      <c r="A325" s="329"/>
      <c r="B325" s="327"/>
      <c r="C325" s="327"/>
      <c r="D325" s="327"/>
      <c r="E325" s="327"/>
      <c r="F325" s="327"/>
      <c r="G325" s="327"/>
      <c r="H325" s="327"/>
      <c r="I325" s="327"/>
      <c r="J325" s="328"/>
    </row>
    <row r="326" spans="1:10" ht="15" customHeight="1" x14ac:dyDescent="0.25">
      <c r="A326" s="329"/>
      <c r="B326" s="327"/>
      <c r="C326" s="327"/>
      <c r="D326" s="327"/>
      <c r="E326" s="327"/>
      <c r="F326" s="327"/>
      <c r="G326" s="327"/>
      <c r="H326" s="327"/>
      <c r="I326" s="327"/>
      <c r="J326" s="328"/>
    </row>
    <row r="327" spans="1:10" ht="15" customHeight="1" x14ac:dyDescent="0.25">
      <c r="A327" s="335" t="s">
        <v>389</v>
      </c>
      <c r="B327" s="336"/>
      <c r="C327" s="336" t="s">
        <v>390</v>
      </c>
      <c r="D327" s="336"/>
      <c r="E327" s="336" t="s">
        <v>356</v>
      </c>
      <c r="F327" s="336"/>
      <c r="G327" s="336" t="s">
        <v>371</v>
      </c>
      <c r="H327" s="336"/>
      <c r="I327" s="336" t="s">
        <v>391</v>
      </c>
      <c r="J327" s="337"/>
    </row>
    <row r="328" spans="1:10" s="74" customFormat="1" ht="15" customHeight="1" thickBot="1" x14ac:dyDescent="0.3">
      <c r="A328" s="330"/>
      <c r="B328" s="331"/>
      <c r="C328" s="331"/>
      <c r="D328" s="331"/>
      <c r="E328" s="331"/>
      <c r="F328" s="331"/>
      <c r="G328" s="331"/>
      <c r="H328" s="331"/>
      <c r="I328" s="331">
        <f>SUM(A328:H328)</f>
        <v>0</v>
      </c>
      <c r="J328" s="338"/>
    </row>
  </sheetData>
  <mergeCells count="520">
    <mergeCell ref="A328:B328"/>
    <mergeCell ref="C328:D328"/>
    <mergeCell ref="E328:F328"/>
    <mergeCell ref="G328:H328"/>
    <mergeCell ref="I328:J328"/>
    <mergeCell ref="A323:J323"/>
    <mergeCell ref="A324:J324"/>
    <mergeCell ref="A325:J325"/>
    <mergeCell ref="A326:J326"/>
    <mergeCell ref="A327:B327"/>
    <mergeCell ref="C327:D327"/>
    <mergeCell ref="E327:F327"/>
    <mergeCell ref="G327:H327"/>
    <mergeCell ref="I327:J327"/>
    <mergeCell ref="B317:J317"/>
    <mergeCell ref="B318:J318"/>
    <mergeCell ref="B319:J319"/>
    <mergeCell ref="B320:J320"/>
    <mergeCell ref="B321:J321"/>
    <mergeCell ref="B322:J322"/>
    <mergeCell ref="A315:B315"/>
    <mergeCell ref="C315:D315"/>
    <mergeCell ref="E315:F315"/>
    <mergeCell ref="G315:H315"/>
    <mergeCell ref="I315:J315"/>
    <mergeCell ref="B316:J316"/>
    <mergeCell ref="B309:J309"/>
    <mergeCell ref="A310:J310"/>
    <mergeCell ref="A311:J311"/>
    <mergeCell ref="A312:J312"/>
    <mergeCell ref="A313:J313"/>
    <mergeCell ref="A314:B314"/>
    <mergeCell ref="C314:D314"/>
    <mergeCell ref="E314:F314"/>
    <mergeCell ref="G314:H314"/>
    <mergeCell ref="I314:J314"/>
    <mergeCell ref="B303:J303"/>
    <mergeCell ref="B304:J304"/>
    <mergeCell ref="B305:J305"/>
    <mergeCell ref="B306:J306"/>
    <mergeCell ref="B307:J307"/>
    <mergeCell ref="B308:J308"/>
    <mergeCell ref="A301:B301"/>
    <mergeCell ref="C301:D301"/>
    <mergeCell ref="E301:F301"/>
    <mergeCell ref="G301:H301"/>
    <mergeCell ref="I301:J301"/>
    <mergeCell ref="A302:B302"/>
    <mergeCell ref="C302:D302"/>
    <mergeCell ref="E302:F302"/>
    <mergeCell ref="G302:H302"/>
    <mergeCell ref="I302:J302"/>
    <mergeCell ref="B295:J295"/>
    <mergeCell ref="B296:J296"/>
    <mergeCell ref="A297:J297"/>
    <mergeCell ref="A298:J298"/>
    <mergeCell ref="A299:J299"/>
    <mergeCell ref="A300:J300"/>
    <mergeCell ref="A289:J289"/>
    <mergeCell ref="B290:J290"/>
    <mergeCell ref="B291:J291"/>
    <mergeCell ref="B292:J292"/>
    <mergeCell ref="B293:J293"/>
    <mergeCell ref="B294:J294"/>
    <mergeCell ref="A287:B287"/>
    <mergeCell ref="C287:D287"/>
    <mergeCell ref="E287:F287"/>
    <mergeCell ref="G287:H287"/>
    <mergeCell ref="I287:J287"/>
    <mergeCell ref="A288:J288"/>
    <mergeCell ref="A282:J282"/>
    <mergeCell ref="A283:J283"/>
    <mergeCell ref="A284:J284"/>
    <mergeCell ref="A285:J285"/>
    <mergeCell ref="A286:B286"/>
    <mergeCell ref="C286:D286"/>
    <mergeCell ref="E286:F286"/>
    <mergeCell ref="G286:H286"/>
    <mergeCell ref="I286:J286"/>
    <mergeCell ref="B276:J276"/>
    <mergeCell ref="B277:J277"/>
    <mergeCell ref="B278:J278"/>
    <mergeCell ref="B279:J279"/>
    <mergeCell ref="B280:J280"/>
    <mergeCell ref="B281:J281"/>
    <mergeCell ref="A274:B274"/>
    <mergeCell ref="C274:D274"/>
    <mergeCell ref="E274:F274"/>
    <mergeCell ref="G274:H274"/>
    <mergeCell ref="I274:J274"/>
    <mergeCell ref="B275:J275"/>
    <mergeCell ref="B268:J268"/>
    <mergeCell ref="A269:J269"/>
    <mergeCell ref="A270:J270"/>
    <mergeCell ref="A271:J271"/>
    <mergeCell ref="A272:J272"/>
    <mergeCell ref="A273:B273"/>
    <mergeCell ref="C273:D273"/>
    <mergeCell ref="E273:F273"/>
    <mergeCell ref="G273:H273"/>
    <mergeCell ref="I273:J273"/>
    <mergeCell ref="B262:J262"/>
    <mergeCell ref="B263:J263"/>
    <mergeCell ref="B264:J264"/>
    <mergeCell ref="B265:J265"/>
    <mergeCell ref="B266:J266"/>
    <mergeCell ref="B267:J267"/>
    <mergeCell ref="A260:B260"/>
    <mergeCell ref="C260:D260"/>
    <mergeCell ref="E260:F260"/>
    <mergeCell ref="G260:H260"/>
    <mergeCell ref="I260:J260"/>
    <mergeCell ref="A261:B261"/>
    <mergeCell ref="C261:D261"/>
    <mergeCell ref="E261:F261"/>
    <mergeCell ref="G261:H261"/>
    <mergeCell ref="I261:J261"/>
    <mergeCell ref="B254:J254"/>
    <mergeCell ref="B255:J255"/>
    <mergeCell ref="A256:J256"/>
    <mergeCell ref="A257:J257"/>
    <mergeCell ref="A258:J258"/>
    <mergeCell ref="A259:J259"/>
    <mergeCell ref="A248:J248"/>
    <mergeCell ref="B249:J249"/>
    <mergeCell ref="B250:J250"/>
    <mergeCell ref="B251:J251"/>
    <mergeCell ref="B252:J252"/>
    <mergeCell ref="B253:J253"/>
    <mergeCell ref="A246:B246"/>
    <mergeCell ref="C246:D246"/>
    <mergeCell ref="E246:F246"/>
    <mergeCell ref="G246:H246"/>
    <mergeCell ref="I246:J246"/>
    <mergeCell ref="A247:J247"/>
    <mergeCell ref="A241:J241"/>
    <mergeCell ref="A242:J242"/>
    <mergeCell ref="A243:J243"/>
    <mergeCell ref="A244:J244"/>
    <mergeCell ref="A245:B245"/>
    <mergeCell ref="C245:D245"/>
    <mergeCell ref="E245:F245"/>
    <mergeCell ref="G245:H245"/>
    <mergeCell ref="I245:J245"/>
    <mergeCell ref="B235:J235"/>
    <mergeCell ref="B236:J236"/>
    <mergeCell ref="B237:J237"/>
    <mergeCell ref="B238:J238"/>
    <mergeCell ref="B239:J239"/>
    <mergeCell ref="B240:J240"/>
    <mergeCell ref="A233:B233"/>
    <mergeCell ref="C233:D233"/>
    <mergeCell ref="E233:F233"/>
    <mergeCell ref="G233:H233"/>
    <mergeCell ref="I233:J233"/>
    <mergeCell ref="B234:J234"/>
    <mergeCell ref="B227:J227"/>
    <mergeCell ref="A228:J228"/>
    <mergeCell ref="A229:J229"/>
    <mergeCell ref="A230:J230"/>
    <mergeCell ref="A231:J231"/>
    <mergeCell ref="A232:B232"/>
    <mergeCell ref="C232:D232"/>
    <mergeCell ref="E232:F232"/>
    <mergeCell ref="G232:H232"/>
    <mergeCell ref="I232:J232"/>
    <mergeCell ref="B221:J221"/>
    <mergeCell ref="B222:J222"/>
    <mergeCell ref="B223:J223"/>
    <mergeCell ref="B224:J224"/>
    <mergeCell ref="B225:J225"/>
    <mergeCell ref="B226:J226"/>
    <mergeCell ref="A219:B219"/>
    <mergeCell ref="C219:D219"/>
    <mergeCell ref="E219:F219"/>
    <mergeCell ref="G219:H219"/>
    <mergeCell ref="I219:J219"/>
    <mergeCell ref="A220:B220"/>
    <mergeCell ref="C220:D220"/>
    <mergeCell ref="E220:F220"/>
    <mergeCell ref="G220:H220"/>
    <mergeCell ref="I220:J220"/>
    <mergeCell ref="B213:J213"/>
    <mergeCell ref="B214:J214"/>
    <mergeCell ref="A215:J215"/>
    <mergeCell ref="A216:J216"/>
    <mergeCell ref="A217:J217"/>
    <mergeCell ref="A218:J218"/>
    <mergeCell ref="A207:J207"/>
    <mergeCell ref="B208:J208"/>
    <mergeCell ref="B209:J209"/>
    <mergeCell ref="B210:J210"/>
    <mergeCell ref="B211:J211"/>
    <mergeCell ref="B212:J212"/>
    <mergeCell ref="A205:B205"/>
    <mergeCell ref="C205:D205"/>
    <mergeCell ref="E205:F205"/>
    <mergeCell ref="G205:H205"/>
    <mergeCell ref="I205:J205"/>
    <mergeCell ref="A206:J206"/>
    <mergeCell ref="A200:J200"/>
    <mergeCell ref="A201:J201"/>
    <mergeCell ref="A202:J202"/>
    <mergeCell ref="A203:J203"/>
    <mergeCell ref="A204:B204"/>
    <mergeCell ref="C204:D204"/>
    <mergeCell ref="E204:F204"/>
    <mergeCell ref="G204:H204"/>
    <mergeCell ref="I204:J204"/>
    <mergeCell ref="B194:J194"/>
    <mergeCell ref="B195:J195"/>
    <mergeCell ref="B196:J196"/>
    <mergeCell ref="B197:J197"/>
    <mergeCell ref="B198:J198"/>
    <mergeCell ref="B199:J199"/>
    <mergeCell ref="A192:B192"/>
    <mergeCell ref="C192:D192"/>
    <mergeCell ref="E192:F192"/>
    <mergeCell ref="G192:H192"/>
    <mergeCell ref="I192:J192"/>
    <mergeCell ref="B193:J193"/>
    <mergeCell ref="B186:J186"/>
    <mergeCell ref="A187:J187"/>
    <mergeCell ref="A188:J188"/>
    <mergeCell ref="A189:J189"/>
    <mergeCell ref="A190:J190"/>
    <mergeCell ref="A191:B191"/>
    <mergeCell ref="C191:D191"/>
    <mergeCell ref="E191:F191"/>
    <mergeCell ref="G191:H191"/>
    <mergeCell ref="I191:J191"/>
    <mergeCell ref="B180:J180"/>
    <mergeCell ref="B181:J181"/>
    <mergeCell ref="B182:J182"/>
    <mergeCell ref="B183:J183"/>
    <mergeCell ref="B184:J184"/>
    <mergeCell ref="B185:J185"/>
    <mergeCell ref="A178:B178"/>
    <mergeCell ref="C178:D178"/>
    <mergeCell ref="E178:F178"/>
    <mergeCell ref="G178:H178"/>
    <mergeCell ref="I178:J178"/>
    <mergeCell ref="A179:B179"/>
    <mergeCell ref="C179:D179"/>
    <mergeCell ref="E179:F179"/>
    <mergeCell ref="G179:H179"/>
    <mergeCell ref="I179:J179"/>
    <mergeCell ref="B172:J172"/>
    <mergeCell ref="B173:J173"/>
    <mergeCell ref="A174:J174"/>
    <mergeCell ref="A175:J175"/>
    <mergeCell ref="A176:J176"/>
    <mergeCell ref="A177:J177"/>
    <mergeCell ref="A166:J166"/>
    <mergeCell ref="B167:J167"/>
    <mergeCell ref="B168:J168"/>
    <mergeCell ref="B169:J169"/>
    <mergeCell ref="B170:J170"/>
    <mergeCell ref="B171:J171"/>
    <mergeCell ref="A164:B164"/>
    <mergeCell ref="C164:D164"/>
    <mergeCell ref="E164:F164"/>
    <mergeCell ref="G164:H164"/>
    <mergeCell ref="I164:J164"/>
    <mergeCell ref="A165:J165"/>
    <mergeCell ref="A159:J159"/>
    <mergeCell ref="A160:J160"/>
    <mergeCell ref="A161:J161"/>
    <mergeCell ref="A162:J162"/>
    <mergeCell ref="A163:B163"/>
    <mergeCell ref="C163:D163"/>
    <mergeCell ref="E163:F163"/>
    <mergeCell ref="G163:H163"/>
    <mergeCell ref="I163:J163"/>
    <mergeCell ref="B153:J153"/>
    <mergeCell ref="B154:J154"/>
    <mergeCell ref="B155:J155"/>
    <mergeCell ref="B156:J156"/>
    <mergeCell ref="B157:J157"/>
    <mergeCell ref="B158:J158"/>
    <mergeCell ref="A151:B151"/>
    <mergeCell ref="C151:D151"/>
    <mergeCell ref="E151:F151"/>
    <mergeCell ref="G151:H151"/>
    <mergeCell ref="I151:J151"/>
    <mergeCell ref="B152:J152"/>
    <mergeCell ref="B145:J145"/>
    <mergeCell ref="A146:J146"/>
    <mergeCell ref="A147:J147"/>
    <mergeCell ref="A148:J148"/>
    <mergeCell ref="A149:J149"/>
    <mergeCell ref="A150:B150"/>
    <mergeCell ref="C150:D150"/>
    <mergeCell ref="E150:F150"/>
    <mergeCell ref="G150:H150"/>
    <mergeCell ref="I150:J150"/>
    <mergeCell ref="B139:J139"/>
    <mergeCell ref="B140:J140"/>
    <mergeCell ref="B141:J141"/>
    <mergeCell ref="B142:J142"/>
    <mergeCell ref="B143:J143"/>
    <mergeCell ref="B144:J144"/>
    <mergeCell ref="A137:B137"/>
    <mergeCell ref="C137:D137"/>
    <mergeCell ref="E137:F137"/>
    <mergeCell ref="G137:H137"/>
    <mergeCell ref="I137:J137"/>
    <mergeCell ref="A138:B138"/>
    <mergeCell ref="C138:D138"/>
    <mergeCell ref="E138:F138"/>
    <mergeCell ref="G138:H138"/>
    <mergeCell ref="I138:J138"/>
    <mergeCell ref="B131:J131"/>
    <mergeCell ref="B132:J132"/>
    <mergeCell ref="A133:J133"/>
    <mergeCell ref="A134:J134"/>
    <mergeCell ref="A135:J135"/>
    <mergeCell ref="A136:J136"/>
    <mergeCell ref="A125:J125"/>
    <mergeCell ref="B126:J126"/>
    <mergeCell ref="B127:J127"/>
    <mergeCell ref="B128:J128"/>
    <mergeCell ref="B129:J129"/>
    <mergeCell ref="B130:J130"/>
    <mergeCell ref="A123:B123"/>
    <mergeCell ref="C123:D123"/>
    <mergeCell ref="E123:F123"/>
    <mergeCell ref="G123:H123"/>
    <mergeCell ref="I123:J123"/>
    <mergeCell ref="A124:J124"/>
    <mergeCell ref="A118:J118"/>
    <mergeCell ref="A119:J119"/>
    <mergeCell ref="A120:J120"/>
    <mergeCell ref="A121:J121"/>
    <mergeCell ref="A122:B122"/>
    <mergeCell ref="C122:D122"/>
    <mergeCell ref="E122:F122"/>
    <mergeCell ref="G122:H122"/>
    <mergeCell ref="I122:J122"/>
    <mergeCell ref="B112:J112"/>
    <mergeCell ref="B113:J113"/>
    <mergeCell ref="B114:J114"/>
    <mergeCell ref="B115:J115"/>
    <mergeCell ref="B116:J116"/>
    <mergeCell ref="B117:J117"/>
    <mergeCell ref="A110:B110"/>
    <mergeCell ref="C110:D110"/>
    <mergeCell ref="E110:F110"/>
    <mergeCell ref="G110:H110"/>
    <mergeCell ref="I110:J110"/>
    <mergeCell ref="B111:J111"/>
    <mergeCell ref="A105:J105"/>
    <mergeCell ref="A106:J106"/>
    <mergeCell ref="A107:J107"/>
    <mergeCell ref="A108:J108"/>
    <mergeCell ref="A109:B109"/>
    <mergeCell ref="C109:D109"/>
    <mergeCell ref="E109:F109"/>
    <mergeCell ref="G109:H109"/>
    <mergeCell ref="I109:J109"/>
    <mergeCell ref="B99:J99"/>
    <mergeCell ref="B100:J100"/>
    <mergeCell ref="B101:J101"/>
    <mergeCell ref="B102:J102"/>
    <mergeCell ref="B103:J103"/>
    <mergeCell ref="B104:J104"/>
    <mergeCell ref="A97:B97"/>
    <mergeCell ref="C97:D97"/>
    <mergeCell ref="E97:F97"/>
    <mergeCell ref="G97:H97"/>
    <mergeCell ref="I97:J97"/>
    <mergeCell ref="B98:J98"/>
    <mergeCell ref="B90:J90"/>
    <mergeCell ref="B91:J91"/>
    <mergeCell ref="A92:J92"/>
    <mergeCell ref="A93:J93"/>
    <mergeCell ref="A96:B96"/>
    <mergeCell ref="C96:D96"/>
    <mergeCell ref="E96:F96"/>
    <mergeCell ref="G96:H96"/>
    <mergeCell ref="I96:J96"/>
    <mergeCell ref="A84:J84"/>
    <mergeCell ref="B85:J85"/>
    <mergeCell ref="B86:J86"/>
    <mergeCell ref="B87:J87"/>
    <mergeCell ref="B88:J88"/>
    <mergeCell ref="B89:J89"/>
    <mergeCell ref="A82:B82"/>
    <mergeCell ref="C82:D82"/>
    <mergeCell ref="E82:F82"/>
    <mergeCell ref="G82:H82"/>
    <mergeCell ref="I82:J82"/>
    <mergeCell ref="A83:J83"/>
    <mergeCell ref="A79:J79"/>
    <mergeCell ref="A80:J80"/>
    <mergeCell ref="A81:B81"/>
    <mergeCell ref="C81:D81"/>
    <mergeCell ref="E81:F81"/>
    <mergeCell ref="G81:H81"/>
    <mergeCell ref="I81:J81"/>
    <mergeCell ref="B73:J73"/>
    <mergeCell ref="B74:J74"/>
    <mergeCell ref="B75:J75"/>
    <mergeCell ref="B76:J76"/>
    <mergeCell ref="A77:J77"/>
    <mergeCell ref="A78:J78"/>
    <mergeCell ref="G41:H41"/>
    <mergeCell ref="I41:J41"/>
    <mergeCell ref="A55:B55"/>
    <mergeCell ref="C55:D55"/>
    <mergeCell ref="E55:F55"/>
    <mergeCell ref="G55:H55"/>
    <mergeCell ref="I55:J55"/>
    <mergeCell ref="I28:J28"/>
    <mergeCell ref="A40:B40"/>
    <mergeCell ref="C40:D40"/>
    <mergeCell ref="E40:F40"/>
    <mergeCell ref="G40:H40"/>
    <mergeCell ref="I40:J40"/>
    <mergeCell ref="E41:F41"/>
    <mergeCell ref="B34:J34"/>
    <mergeCell ref="B35:J35"/>
    <mergeCell ref="A36:J36"/>
    <mergeCell ref="A37:J37"/>
    <mergeCell ref="A38:J38"/>
    <mergeCell ref="B29:J29"/>
    <mergeCell ref="B30:J30"/>
    <mergeCell ref="B31:J31"/>
    <mergeCell ref="B32:J32"/>
    <mergeCell ref="B33:J33"/>
    <mergeCell ref="A27:B27"/>
    <mergeCell ref="C27:D27"/>
    <mergeCell ref="E27:F27"/>
    <mergeCell ref="G27:H27"/>
    <mergeCell ref="I27:J27"/>
    <mergeCell ref="A15:B15"/>
    <mergeCell ref="C15:D15"/>
    <mergeCell ref="E15:F15"/>
    <mergeCell ref="G15:H15"/>
    <mergeCell ref="I15:J15"/>
    <mergeCell ref="A14:B14"/>
    <mergeCell ref="C14:D14"/>
    <mergeCell ref="E14:F14"/>
    <mergeCell ref="G14:H14"/>
    <mergeCell ref="I14:J14"/>
    <mergeCell ref="A12:J12"/>
    <mergeCell ref="A13:J13"/>
    <mergeCell ref="B71:J71"/>
    <mergeCell ref="B72:J72"/>
    <mergeCell ref="B50:J50"/>
    <mergeCell ref="A51:J51"/>
    <mergeCell ref="A52:J52"/>
    <mergeCell ref="A42:J42"/>
    <mergeCell ref="A43:J43"/>
    <mergeCell ref="B44:J44"/>
    <mergeCell ref="B45:J45"/>
    <mergeCell ref="B46:J46"/>
    <mergeCell ref="A23:J23"/>
    <mergeCell ref="A24:J24"/>
    <mergeCell ref="A25:J25"/>
    <mergeCell ref="A26:J26"/>
    <mergeCell ref="A39:J39"/>
    <mergeCell ref="A41:B41"/>
    <mergeCell ref="C41:D41"/>
    <mergeCell ref="B47:J47"/>
    <mergeCell ref="B48:J48"/>
    <mergeCell ref="B57:J57"/>
    <mergeCell ref="B58:J58"/>
    <mergeCell ref="A53:J53"/>
    <mergeCell ref="A54:J54"/>
    <mergeCell ref="A56:B56"/>
    <mergeCell ref="C56:D56"/>
    <mergeCell ref="B49:J49"/>
    <mergeCell ref="E56:F56"/>
    <mergeCell ref="G56:H56"/>
    <mergeCell ref="I56:J56"/>
    <mergeCell ref="B59:J59"/>
    <mergeCell ref="B70:J70"/>
    <mergeCell ref="A65:J65"/>
    <mergeCell ref="A67:J67"/>
    <mergeCell ref="A68:B68"/>
    <mergeCell ref="C68:D68"/>
    <mergeCell ref="B60:J60"/>
    <mergeCell ref="B61:J61"/>
    <mergeCell ref="A64:J64"/>
    <mergeCell ref="E68:F68"/>
    <mergeCell ref="G68:H68"/>
    <mergeCell ref="I68:J68"/>
    <mergeCell ref="A69:B69"/>
    <mergeCell ref="C69:D69"/>
    <mergeCell ref="E69:F69"/>
    <mergeCell ref="G69:H69"/>
    <mergeCell ref="I69:J69"/>
    <mergeCell ref="B62:J62"/>
    <mergeCell ref="B63:J63"/>
    <mergeCell ref="A66:J66"/>
    <mergeCell ref="A1:J1"/>
    <mergeCell ref="A2:J2"/>
    <mergeCell ref="B3:J3"/>
    <mergeCell ref="B4:J4"/>
    <mergeCell ref="B5:J5"/>
    <mergeCell ref="B6:J6"/>
    <mergeCell ref="A94:J94"/>
    <mergeCell ref="A95:J95"/>
    <mergeCell ref="B7:J7"/>
    <mergeCell ref="A28:B28"/>
    <mergeCell ref="C28:D28"/>
    <mergeCell ref="E28:F28"/>
    <mergeCell ref="G28:H28"/>
    <mergeCell ref="B20:J20"/>
    <mergeCell ref="B21:J21"/>
    <mergeCell ref="B22:J22"/>
    <mergeCell ref="B8:J8"/>
    <mergeCell ref="B9:J9"/>
    <mergeCell ref="A10:J10"/>
    <mergeCell ref="A11:J11"/>
    <mergeCell ref="B16:J16"/>
    <mergeCell ref="B17:J17"/>
    <mergeCell ref="B18:J18"/>
    <mergeCell ref="B19:J19"/>
  </mergeCells>
  <pageMargins left="0.7" right="0.7" top="1.25" bottom="0.78" header="0.3" footer="0.3"/>
  <pageSetup orientation="portrait" r:id="rId1"/>
  <headerFooter>
    <oddHeader>&amp;C&amp;G
&amp;"Century Gothic,Regular"&amp;18&amp;K252260SWOT ANALYSIS WORKSHEETS&amp;R&amp;"Century Gothic,Regular"&amp;9&amp;K252260Page &amp;P of &amp;N</oddHeader>
    <oddFooter>&amp;C&amp;"Century Gothic,Regular"&amp;9&amp;K252260Learn how our award-winning software can help you achieve your fundraising goals at DonorView.com.</oddFooter>
  </headerFooter>
  <rowBreaks count="7" manualBreakCount="7">
    <brk id="41" max="16383" man="1"/>
    <brk id="82" max="16383" man="1"/>
    <brk id="123" max="16383" man="1"/>
    <brk id="164" max="16383" man="1"/>
    <brk id="205" max="16383" man="1"/>
    <brk id="246" max="16383" man="1"/>
    <brk id="287" max="1638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D76B-5641-4E57-8675-DD7C09EBADD0}">
  <dimension ref="A1:G100"/>
  <sheetViews>
    <sheetView workbookViewId="0">
      <selection activeCell="A3" sqref="A3:G3"/>
    </sheetView>
  </sheetViews>
  <sheetFormatPr defaultRowHeight="15" x14ac:dyDescent="0.25"/>
  <cols>
    <col min="1" max="7" width="12.7109375" customWidth="1"/>
  </cols>
  <sheetData>
    <row r="1" spans="1:7" ht="30" customHeight="1" thickBot="1" x14ac:dyDescent="0.3">
      <c r="A1" s="360" t="s">
        <v>402</v>
      </c>
      <c r="B1" s="361"/>
      <c r="C1" s="361"/>
      <c r="D1" s="361"/>
      <c r="E1" s="361"/>
      <c r="F1" s="361"/>
      <c r="G1" s="362"/>
    </row>
    <row r="2" spans="1:7" s="79" customFormat="1" ht="21" customHeight="1" x14ac:dyDescent="0.2">
      <c r="A2" s="363" t="s">
        <v>426</v>
      </c>
      <c r="B2" s="325"/>
      <c r="C2" s="325"/>
      <c r="D2" s="325"/>
      <c r="E2" s="325"/>
      <c r="F2" s="325"/>
      <c r="G2" s="326"/>
    </row>
    <row r="3" spans="1:7" s="79" customFormat="1" ht="21" customHeight="1" x14ac:dyDescent="0.2">
      <c r="A3" s="329" t="s">
        <v>427</v>
      </c>
      <c r="B3" s="327"/>
      <c r="C3" s="327"/>
      <c r="D3" s="327"/>
      <c r="E3" s="327"/>
      <c r="F3" s="327"/>
      <c r="G3" s="328"/>
    </row>
    <row r="4" spans="1:7" s="79" customFormat="1" ht="21" customHeight="1" x14ac:dyDescent="0.2">
      <c r="A4" s="329" t="s">
        <v>428</v>
      </c>
      <c r="B4" s="327"/>
      <c r="C4" s="327"/>
      <c r="D4" s="327"/>
      <c r="E4" s="327"/>
      <c r="F4" s="327"/>
      <c r="G4" s="328"/>
    </row>
    <row r="5" spans="1:7" s="79" customFormat="1" ht="21" customHeight="1" x14ac:dyDescent="0.2">
      <c r="A5" s="329" t="s">
        <v>429</v>
      </c>
      <c r="B5" s="327"/>
      <c r="C5" s="327"/>
      <c r="D5" s="327"/>
      <c r="E5" s="327"/>
      <c r="F5" s="327"/>
      <c r="G5" s="328"/>
    </row>
    <row r="6" spans="1:7" s="79" customFormat="1" ht="21" customHeight="1" thickBot="1" x14ac:dyDescent="0.25">
      <c r="A6" s="364" t="s">
        <v>430</v>
      </c>
      <c r="B6" s="365"/>
      <c r="C6" s="365"/>
      <c r="D6" s="365"/>
      <c r="E6" s="365"/>
      <c r="F6" s="365"/>
      <c r="G6" s="366"/>
    </row>
    <row r="7" spans="1:7" s="78" customFormat="1" ht="21" customHeight="1" x14ac:dyDescent="0.25">
      <c r="A7" s="355" t="s">
        <v>405</v>
      </c>
      <c r="B7" s="356"/>
      <c r="C7" s="356"/>
      <c r="D7" s="356"/>
      <c r="E7" s="356"/>
      <c r="F7" s="356"/>
      <c r="G7" s="357"/>
    </row>
    <row r="8" spans="1:7" ht="18" customHeight="1" x14ac:dyDescent="0.25">
      <c r="A8" s="83" t="s">
        <v>424</v>
      </c>
      <c r="B8" s="347" t="s">
        <v>403</v>
      </c>
      <c r="C8" s="348"/>
      <c r="D8" s="349"/>
      <c r="E8" s="347" t="s">
        <v>404</v>
      </c>
      <c r="F8" s="348"/>
      <c r="G8" s="350"/>
    </row>
    <row r="9" spans="1:7" ht="36" customHeight="1" x14ac:dyDescent="0.25">
      <c r="A9" s="76"/>
      <c r="B9" s="351"/>
      <c r="C9" s="352"/>
      <c r="D9" s="353"/>
      <c r="E9" s="351"/>
      <c r="F9" s="352"/>
      <c r="G9" s="354"/>
    </row>
    <row r="10" spans="1:7" ht="30" customHeight="1" x14ac:dyDescent="0.25">
      <c r="A10" s="83" t="s">
        <v>406</v>
      </c>
      <c r="B10" s="84" t="s">
        <v>407</v>
      </c>
      <c r="C10" s="84" t="s">
        <v>408</v>
      </c>
      <c r="D10" s="84" t="s">
        <v>409</v>
      </c>
      <c r="E10" s="84" t="s">
        <v>372</v>
      </c>
      <c r="F10" s="84" t="s">
        <v>423</v>
      </c>
      <c r="G10" s="77" t="s">
        <v>425</v>
      </c>
    </row>
    <row r="11" spans="1:7" ht="24" customHeight="1" x14ac:dyDescent="0.25">
      <c r="A11" s="85"/>
      <c r="B11" s="86"/>
      <c r="C11" s="86"/>
      <c r="D11" s="86"/>
      <c r="E11" s="86">
        <f>SUM(A11:D11)</f>
        <v>0</v>
      </c>
      <c r="F11" s="86"/>
      <c r="G11" s="87">
        <f>SUM(E11:F11)</f>
        <v>0</v>
      </c>
    </row>
    <row r="12" spans="1:7" ht="30" customHeight="1" thickBot="1" x14ac:dyDescent="0.3">
      <c r="A12" s="88" t="s">
        <v>432</v>
      </c>
      <c r="B12" s="81">
        <v>0</v>
      </c>
      <c r="C12" s="89" t="s">
        <v>433</v>
      </c>
      <c r="D12" s="81">
        <v>0</v>
      </c>
      <c r="E12" s="89" t="s">
        <v>434</v>
      </c>
      <c r="F12" s="358">
        <f>B12-D12</f>
        <v>0</v>
      </c>
      <c r="G12" s="359"/>
    </row>
    <row r="13" spans="1:7" s="75" customFormat="1" ht="21" customHeight="1" x14ac:dyDescent="0.2">
      <c r="A13" s="355" t="s">
        <v>410</v>
      </c>
      <c r="B13" s="356"/>
      <c r="C13" s="356"/>
      <c r="D13" s="356"/>
      <c r="E13" s="356"/>
      <c r="F13" s="356"/>
      <c r="G13" s="357"/>
    </row>
    <row r="14" spans="1:7" ht="18" customHeight="1" x14ac:dyDescent="0.25">
      <c r="A14" s="83" t="s">
        <v>424</v>
      </c>
      <c r="B14" s="347" t="s">
        <v>403</v>
      </c>
      <c r="C14" s="348"/>
      <c r="D14" s="349"/>
      <c r="E14" s="347" t="s">
        <v>404</v>
      </c>
      <c r="F14" s="348"/>
      <c r="G14" s="350"/>
    </row>
    <row r="15" spans="1:7" ht="36" customHeight="1" x14ac:dyDescent="0.25">
      <c r="A15" s="76"/>
      <c r="B15" s="351"/>
      <c r="C15" s="352"/>
      <c r="D15" s="353"/>
      <c r="E15" s="351"/>
      <c r="F15" s="352"/>
      <c r="G15" s="354"/>
    </row>
    <row r="16" spans="1:7" ht="30" customHeight="1" x14ac:dyDescent="0.25">
      <c r="A16" s="83" t="s">
        <v>406</v>
      </c>
      <c r="B16" s="84" t="s">
        <v>407</v>
      </c>
      <c r="C16" s="84" t="s">
        <v>408</v>
      </c>
      <c r="D16" s="84" t="s">
        <v>409</v>
      </c>
      <c r="E16" s="84" t="s">
        <v>372</v>
      </c>
      <c r="F16" s="84" t="s">
        <v>423</v>
      </c>
      <c r="G16" s="77" t="s">
        <v>425</v>
      </c>
    </row>
    <row r="17" spans="1:7" ht="24" customHeight="1" x14ac:dyDescent="0.25">
      <c r="A17" s="85"/>
      <c r="B17" s="86"/>
      <c r="C17" s="86"/>
      <c r="D17" s="86"/>
      <c r="E17" s="86">
        <f>SUM(A17:D17)</f>
        <v>0</v>
      </c>
      <c r="F17" s="86"/>
      <c r="G17" s="87">
        <f>SUM(E17:F17)</f>
        <v>0</v>
      </c>
    </row>
    <row r="18" spans="1:7" ht="30" customHeight="1" thickBot="1" x14ac:dyDescent="0.3">
      <c r="A18" s="88" t="s">
        <v>432</v>
      </c>
      <c r="B18" s="81">
        <v>0</v>
      </c>
      <c r="C18" s="89" t="s">
        <v>433</v>
      </c>
      <c r="D18" s="81">
        <v>0</v>
      </c>
      <c r="E18" s="89" t="s">
        <v>434</v>
      </c>
      <c r="F18" s="358">
        <f>B18-D18</f>
        <v>0</v>
      </c>
      <c r="G18" s="359"/>
    </row>
    <row r="19" spans="1:7" s="75" customFormat="1" ht="21" customHeight="1" x14ac:dyDescent="0.2">
      <c r="A19" s="355" t="s">
        <v>411</v>
      </c>
      <c r="B19" s="356"/>
      <c r="C19" s="356"/>
      <c r="D19" s="356"/>
      <c r="E19" s="356"/>
      <c r="F19" s="356"/>
      <c r="G19" s="357"/>
    </row>
    <row r="20" spans="1:7" ht="18" customHeight="1" x14ac:dyDescent="0.25">
      <c r="A20" s="83" t="s">
        <v>424</v>
      </c>
      <c r="B20" s="347" t="s">
        <v>403</v>
      </c>
      <c r="C20" s="348"/>
      <c r="D20" s="349"/>
      <c r="E20" s="347" t="s">
        <v>404</v>
      </c>
      <c r="F20" s="348"/>
      <c r="G20" s="350"/>
    </row>
    <row r="21" spans="1:7" ht="36" customHeight="1" x14ac:dyDescent="0.25">
      <c r="A21" s="76"/>
      <c r="B21" s="351"/>
      <c r="C21" s="352"/>
      <c r="D21" s="353"/>
      <c r="E21" s="351"/>
      <c r="F21" s="352"/>
      <c r="G21" s="354"/>
    </row>
    <row r="22" spans="1:7" ht="30" customHeight="1" x14ac:dyDescent="0.25">
      <c r="A22" s="83" t="s">
        <v>406</v>
      </c>
      <c r="B22" s="84" t="s">
        <v>407</v>
      </c>
      <c r="C22" s="84" t="s">
        <v>408</v>
      </c>
      <c r="D22" s="84" t="s">
        <v>409</v>
      </c>
      <c r="E22" s="84" t="s">
        <v>372</v>
      </c>
      <c r="F22" s="84" t="s">
        <v>423</v>
      </c>
      <c r="G22" s="77" t="s">
        <v>425</v>
      </c>
    </row>
    <row r="23" spans="1:7" ht="24" customHeight="1" x14ac:dyDescent="0.25">
      <c r="A23" s="85"/>
      <c r="B23" s="86"/>
      <c r="C23" s="86"/>
      <c r="D23" s="86"/>
      <c r="E23" s="86">
        <f>SUM(A23:D23)</f>
        <v>0</v>
      </c>
      <c r="F23" s="86"/>
      <c r="G23" s="87">
        <f>SUM(E23:F23)</f>
        <v>0</v>
      </c>
    </row>
    <row r="24" spans="1:7" ht="30" customHeight="1" thickBot="1" x14ac:dyDescent="0.3">
      <c r="A24" s="88" t="s">
        <v>432</v>
      </c>
      <c r="B24" s="81">
        <v>0</v>
      </c>
      <c r="C24" s="89" t="s">
        <v>433</v>
      </c>
      <c r="D24" s="81">
        <v>0</v>
      </c>
      <c r="E24" s="89" t="s">
        <v>434</v>
      </c>
      <c r="F24" s="358">
        <f>B24-D24</f>
        <v>0</v>
      </c>
      <c r="G24" s="359"/>
    </row>
    <row r="25" spans="1:7" ht="30" customHeight="1" thickBot="1" x14ac:dyDescent="0.3">
      <c r="A25" s="90"/>
      <c r="B25" s="80"/>
      <c r="C25" s="90"/>
      <c r="D25" s="80"/>
      <c r="E25" s="90"/>
      <c r="F25" s="91"/>
      <c r="G25" s="91"/>
    </row>
    <row r="26" spans="1:7" ht="30" customHeight="1" thickBot="1" x14ac:dyDescent="0.3">
      <c r="A26" s="360" t="s">
        <v>402</v>
      </c>
      <c r="B26" s="361"/>
      <c r="C26" s="361"/>
      <c r="D26" s="361"/>
      <c r="E26" s="361"/>
      <c r="F26" s="361"/>
      <c r="G26" s="362"/>
    </row>
    <row r="27" spans="1:7" s="78" customFormat="1" ht="21" customHeight="1" x14ac:dyDescent="0.25">
      <c r="A27" s="355" t="s">
        <v>412</v>
      </c>
      <c r="B27" s="356"/>
      <c r="C27" s="356"/>
      <c r="D27" s="356"/>
      <c r="E27" s="356"/>
      <c r="F27" s="356"/>
      <c r="G27" s="357"/>
    </row>
    <row r="28" spans="1:7" ht="18" customHeight="1" x14ac:dyDescent="0.25">
      <c r="A28" s="83" t="s">
        <v>424</v>
      </c>
      <c r="B28" s="347" t="s">
        <v>403</v>
      </c>
      <c r="C28" s="348"/>
      <c r="D28" s="349"/>
      <c r="E28" s="347" t="s">
        <v>404</v>
      </c>
      <c r="F28" s="348"/>
      <c r="G28" s="350"/>
    </row>
    <row r="29" spans="1:7" ht="36" customHeight="1" x14ac:dyDescent="0.25">
      <c r="A29" s="76"/>
      <c r="B29" s="351"/>
      <c r="C29" s="352"/>
      <c r="D29" s="353"/>
      <c r="E29" s="351"/>
      <c r="F29" s="352"/>
      <c r="G29" s="354"/>
    </row>
    <row r="30" spans="1:7" ht="30" customHeight="1" x14ac:dyDescent="0.25">
      <c r="A30" s="83" t="s">
        <v>406</v>
      </c>
      <c r="B30" s="84" t="s">
        <v>407</v>
      </c>
      <c r="C30" s="84" t="s">
        <v>408</v>
      </c>
      <c r="D30" s="84" t="s">
        <v>409</v>
      </c>
      <c r="E30" s="84" t="s">
        <v>372</v>
      </c>
      <c r="F30" s="84" t="s">
        <v>423</v>
      </c>
      <c r="G30" s="77" t="s">
        <v>425</v>
      </c>
    </row>
    <row r="31" spans="1:7" ht="24" customHeight="1" x14ac:dyDescent="0.25">
      <c r="A31" s="85"/>
      <c r="B31" s="86"/>
      <c r="C31" s="86"/>
      <c r="D31" s="86"/>
      <c r="E31" s="86">
        <f>SUM(A31:D31)</f>
        <v>0</v>
      </c>
      <c r="F31" s="86"/>
      <c r="G31" s="87">
        <f>SUM(E31:F31)</f>
        <v>0</v>
      </c>
    </row>
    <row r="32" spans="1:7" ht="30" customHeight="1" thickBot="1" x14ac:dyDescent="0.3">
      <c r="A32" s="88" t="s">
        <v>432</v>
      </c>
      <c r="B32" s="81">
        <v>0</v>
      </c>
      <c r="C32" s="89" t="s">
        <v>433</v>
      </c>
      <c r="D32" s="81">
        <v>0</v>
      </c>
      <c r="E32" s="89" t="s">
        <v>434</v>
      </c>
      <c r="F32" s="358">
        <f>B32-D32</f>
        <v>0</v>
      </c>
      <c r="G32" s="359"/>
    </row>
    <row r="33" spans="1:7" s="75" customFormat="1" ht="21" customHeight="1" x14ac:dyDescent="0.2">
      <c r="A33" s="355" t="s">
        <v>413</v>
      </c>
      <c r="B33" s="356"/>
      <c r="C33" s="356"/>
      <c r="D33" s="356"/>
      <c r="E33" s="356"/>
      <c r="F33" s="356"/>
      <c r="G33" s="357"/>
    </row>
    <row r="34" spans="1:7" ht="18" customHeight="1" x14ac:dyDescent="0.25">
      <c r="A34" s="83" t="s">
        <v>424</v>
      </c>
      <c r="B34" s="347" t="s">
        <v>403</v>
      </c>
      <c r="C34" s="348"/>
      <c r="D34" s="349"/>
      <c r="E34" s="347" t="s">
        <v>404</v>
      </c>
      <c r="F34" s="348"/>
      <c r="G34" s="350"/>
    </row>
    <row r="35" spans="1:7" ht="36" customHeight="1" x14ac:dyDescent="0.25">
      <c r="A35" s="76"/>
      <c r="B35" s="351"/>
      <c r="C35" s="352"/>
      <c r="D35" s="353"/>
      <c r="E35" s="351"/>
      <c r="F35" s="352"/>
      <c r="G35" s="354"/>
    </row>
    <row r="36" spans="1:7" ht="30" customHeight="1" x14ac:dyDescent="0.25">
      <c r="A36" s="83" t="s">
        <v>406</v>
      </c>
      <c r="B36" s="84" t="s">
        <v>407</v>
      </c>
      <c r="C36" s="84" t="s">
        <v>408</v>
      </c>
      <c r="D36" s="84" t="s">
        <v>409</v>
      </c>
      <c r="E36" s="84" t="s">
        <v>372</v>
      </c>
      <c r="F36" s="84" t="s">
        <v>423</v>
      </c>
      <c r="G36" s="77" t="s">
        <v>425</v>
      </c>
    </row>
    <row r="37" spans="1:7" ht="24" customHeight="1" x14ac:dyDescent="0.25">
      <c r="A37" s="85"/>
      <c r="B37" s="86"/>
      <c r="C37" s="86"/>
      <c r="D37" s="86"/>
      <c r="E37" s="86">
        <f>SUM(A37:D37)</f>
        <v>0</v>
      </c>
      <c r="F37" s="86"/>
      <c r="G37" s="87">
        <f>SUM(E37:F37)</f>
        <v>0</v>
      </c>
    </row>
    <row r="38" spans="1:7" ht="30" customHeight="1" thickBot="1" x14ac:dyDescent="0.3">
      <c r="A38" s="88" t="s">
        <v>432</v>
      </c>
      <c r="B38" s="81">
        <v>0</v>
      </c>
      <c r="C38" s="89" t="s">
        <v>433</v>
      </c>
      <c r="D38" s="81">
        <v>0</v>
      </c>
      <c r="E38" s="89" t="s">
        <v>434</v>
      </c>
      <c r="F38" s="358">
        <f>B38-D38</f>
        <v>0</v>
      </c>
      <c r="G38" s="359"/>
    </row>
    <row r="39" spans="1:7" s="75" customFormat="1" ht="21" customHeight="1" x14ac:dyDescent="0.2">
      <c r="A39" s="355" t="s">
        <v>414</v>
      </c>
      <c r="B39" s="356"/>
      <c r="C39" s="356"/>
      <c r="D39" s="356"/>
      <c r="E39" s="356"/>
      <c r="F39" s="356"/>
      <c r="G39" s="357"/>
    </row>
    <row r="40" spans="1:7" ht="18" customHeight="1" x14ac:dyDescent="0.25">
      <c r="A40" s="83" t="s">
        <v>424</v>
      </c>
      <c r="B40" s="347" t="s">
        <v>403</v>
      </c>
      <c r="C40" s="348"/>
      <c r="D40" s="349"/>
      <c r="E40" s="347" t="s">
        <v>404</v>
      </c>
      <c r="F40" s="348"/>
      <c r="G40" s="350"/>
    </row>
    <row r="41" spans="1:7" ht="36" customHeight="1" x14ac:dyDescent="0.25">
      <c r="A41" s="76"/>
      <c r="B41" s="351"/>
      <c r="C41" s="352"/>
      <c r="D41" s="353"/>
      <c r="E41" s="351"/>
      <c r="F41" s="352"/>
      <c r="G41" s="354"/>
    </row>
    <row r="42" spans="1:7" ht="30" customHeight="1" x14ac:dyDescent="0.25">
      <c r="A42" s="83" t="s">
        <v>406</v>
      </c>
      <c r="B42" s="84" t="s">
        <v>407</v>
      </c>
      <c r="C42" s="84" t="s">
        <v>408</v>
      </c>
      <c r="D42" s="84" t="s">
        <v>409</v>
      </c>
      <c r="E42" s="84" t="s">
        <v>372</v>
      </c>
      <c r="F42" s="84" t="s">
        <v>423</v>
      </c>
      <c r="G42" s="77" t="s">
        <v>425</v>
      </c>
    </row>
    <row r="43" spans="1:7" ht="24" customHeight="1" x14ac:dyDescent="0.25">
      <c r="A43" s="85"/>
      <c r="B43" s="86"/>
      <c r="C43" s="86"/>
      <c r="D43" s="86"/>
      <c r="E43" s="86">
        <f>SUM(A43:D43)</f>
        <v>0</v>
      </c>
      <c r="F43" s="86"/>
      <c r="G43" s="87">
        <f>SUM(E43:F43)</f>
        <v>0</v>
      </c>
    </row>
    <row r="44" spans="1:7" ht="30" customHeight="1" thickBot="1" x14ac:dyDescent="0.3">
      <c r="A44" s="88" t="s">
        <v>432</v>
      </c>
      <c r="B44" s="81">
        <v>0</v>
      </c>
      <c r="C44" s="89" t="s">
        <v>433</v>
      </c>
      <c r="D44" s="81">
        <v>0</v>
      </c>
      <c r="E44" s="89" t="s">
        <v>434</v>
      </c>
      <c r="F44" s="358">
        <f>B44-D44</f>
        <v>0</v>
      </c>
      <c r="G44" s="359"/>
    </row>
    <row r="45" spans="1:7" s="75" customFormat="1" ht="21" customHeight="1" x14ac:dyDescent="0.2">
      <c r="A45" s="355" t="s">
        <v>415</v>
      </c>
      <c r="B45" s="356"/>
      <c r="C45" s="356"/>
      <c r="D45" s="356"/>
      <c r="E45" s="356"/>
      <c r="F45" s="356"/>
      <c r="G45" s="357"/>
    </row>
    <row r="46" spans="1:7" ht="18" customHeight="1" x14ac:dyDescent="0.25">
      <c r="A46" s="83" t="s">
        <v>424</v>
      </c>
      <c r="B46" s="347" t="s">
        <v>403</v>
      </c>
      <c r="C46" s="348"/>
      <c r="D46" s="349"/>
      <c r="E46" s="347" t="s">
        <v>404</v>
      </c>
      <c r="F46" s="348"/>
      <c r="G46" s="350"/>
    </row>
    <row r="47" spans="1:7" ht="36" customHeight="1" x14ac:dyDescent="0.25">
      <c r="A47" s="76"/>
      <c r="B47" s="351"/>
      <c r="C47" s="352"/>
      <c r="D47" s="353"/>
      <c r="E47" s="351"/>
      <c r="F47" s="352"/>
      <c r="G47" s="354"/>
    </row>
    <row r="48" spans="1:7" ht="30" customHeight="1" x14ac:dyDescent="0.25">
      <c r="A48" s="83" t="s">
        <v>406</v>
      </c>
      <c r="B48" s="84" t="s">
        <v>407</v>
      </c>
      <c r="C48" s="84" t="s">
        <v>408</v>
      </c>
      <c r="D48" s="84" t="s">
        <v>409</v>
      </c>
      <c r="E48" s="84" t="s">
        <v>372</v>
      </c>
      <c r="F48" s="84" t="s">
        <v>423</v>
      </c>
      <c r="G48" s="77" t="s">
        <v>425</v>
      </c>
    </row>
    <row r="49" spans="1:7" ht="24" customHeight="1" x14ac:dyDescent="0.25">
      <c r="A49" s="85"/>
      <c r="B49" s="86"/>
      <c r="C49" s="86"/>
      <c r="D49" s="86"/>
      <c r="E49" s="86">
        <f>SUM(A49:D49)</f>
        <v>0</v>
      </c>
      <c r="F49" s="86"/>
      <c r="G49" s="87">
        <f>SUM(E49:F49)</f>
        <v>0</v>
      </c>
    </row>
    <row r="50" spans="1:7" ht="30" customHeight="1" thickBot="1" x14ac:dyDescent="0.3">
      <c r="A50" s="88" t="s">
        <v>432</v>
      </c>
      <c r="B50" s="81">
        <v>0</v>
      </c>
      <c r="C50" s="89" t="s">
        <v>433</v>
      </c>
      <c r="D50" s="81">
        <v>0</v>
      </c>
      <c r="E50" s="89" t="s">
        <v>434</v>
      </c>
      <c r="F50" s="358">
        <f>B50-D50</f>
        <v>0</v>
      </c>
      <c r="G50" s="359"/>
    </row>
    <row r="51" spans="1:7" ht="30" customHeight="1" thickBot="1" x14ac:dyDescent="0.3">
      <c r="A51" s="360" t="s">
        <v>402</v>
      </c>
      <c r="B51" s="361"/>
      <c r="C51" s="361"/>
      <c r="D51" s="361"/>
      <c r="E51" s="361"/>
      <c r="F51" s="361"/>
      <c r="G51" s="362"/>
    </row>
    <row r="52" spans="1:7" s="78" customFormat="1" ht="21" customHeight="1" x14ac:dyDescent="0.25">
      <c r="A52" s="355" t="s">
        <v>416</v>
      </c>
      <c r="B52" s="356"/>
      <c r="C52" s="356"/>
      <c r="D52" s="356"/>
      <c r="E52" s="356"/>
      <c r="F52" s="356"/>
      <c r="G52" s="357"/>
    </row>
    <row r="53" spans="1:7" ht="18" customHeight="1" x14ac:dyDescent="0.25">
      <c r="A53" s="83" t="s">
        <v>424</v>
      </c>
      <c r="B53" s="347" t="s">
        <v>403</v>
      </c>
      <c r="C53" s="348"/>
      <c r="D53" s="349"/>
      <c r="E53" s="347" t="s">
        <v>404</v>
      </c>
      <c r="F53" s="348"/>
      <c r="G53" s="350"/>
    </row>
    <row r="54" spans="1:7" ht="36" customHeight="1" x14ac:dyDescent="0.25">
      <c r="A54" s="76"/>
      <c r="B54" s="351"/>
      <c r="C54" s="352"/>
      <c r="D54" s="353"/>
      <c r="E54" s="351"/>
      <c r="F54" s="352"/>
      <c r="G54" s="354"/>
    </row>
    <row r="55" spans="1:7" ht="30" customHeight="1" x14ac:dyDescent="0.25">
      <c r="A55" s="83" t="s">
        <v>406</v>
      </c>
      <c r="B55" s="84" t="s">
        <v>407</v>
      </c>
      <c r="C55" s="84" t="s">
        <v>408</v>
      </c>
      <c r="D55" s="84" t="s">
        <v>409</v>
      </c>
      <c r="E55" s="84" t="s">
        <v>372</v>
      </c>
      <c r="F55" s="84" t="s">
        <v>423</v>
      </c>
      <c r="G55" s="77" t="s">
        <v>425</v>
      </c>
    </row>
    <row r="56" spans="1:7" ht="24" customHeight="1" x14ac:dyDescent="0.25">
      <c r="A56" s="85"/>
      <c r="B56" s="86"/>
      <c r="C56" s="86"/>
      <c r="D56" s="86"/>
      <c r="E56" s="86">
        <f>SUM(A56:D56)</f>
        <v>0</v>
      </c>
      <c r="F56" s="86"/>
      <c r="G56" s="87">
        <f>SUM(E56:F56)</f>
        <v>0</v>
      </c>
    </row>
    <row r="57" spans="1:7" ht="30" customHeight="1" thickBot="1" x14ac:dyDescent="0.3">
      <c r="A57" s="88" t="s">
        <v>432</v>
      </c>
      <c r="B57" s="81">
        <v>0</v>
      </c>
      <c r="C57" s="89" t="s">
        <v>433</v>
      </c>
      <c r="D57" s="81">
        <v>0</v>
      </c>
      <c r="E57" s="89" t="s">
        <v>434</v>
      </c>
      <c r="F57" s="358">
        <f>B57-D57</f>
        <v>0</v>
      </c>
      <c r="G57" s="359"/>
    </row>
    <row r="58" spans="1:7" s="75" customFormat="1" ht="21" customHeight="1" x14ac:dyDescent="0.2">
      <c r="A58" s="355" t="s">
        <v>417</v>
      </c>
      <c r="B58" s="356"/>
      <c r="C58" s="356"/>
      <c r="D58" s="356"/>
      <c r="E58" s="356"/>
      <c r="F58" s="356"/>
      <c r="G58" s="357"/>
    </row>
    <row r="59" spans="1:7" ht="18" customHeight="1" x14ac:dyDescent="0.25">
      <c r="A59" s="83" t="s">
        <v>424</v>
      </c>
      <c r="B59" s="347" t="s">
        <v>403</v>
      </c>
      <c r="C59" s="348"/>
      <c r="D59" s="349"/>
      <c r="E59" s="347" t="s">
        <v>404</v>
      </c>
      <c r="F59" s="348"/>
      <c r="G59" s="350"/>
    </row>
    <row r="60" spans="1:7" ht="36" customHeight="1" x14ac:dyDescent="0.25">
      <c r="A60" s="76"/>
      <c r="B60" s="351"/>
      <c r="C60" s="352"/>
      <c r="D60" s="353"/>
      <c r="E60" s="351"/>
      <c r="F60" s="352"/>
      <c r="G60" s="354"/>
    </row>
    <row r="61" spans="1:7" ht="30" customHeight="1" x14ac:dyDescent="0.25">
      <c r="A61" s="83" t="s">
        <v>406</v>
      </c>
      <c r="B61" s="84" t="s">
        <v>407</v>
      </c>
      <c r="C61" s="84" t="s">
        <v>408</v>
      </c>
      <c r="D61" s="84" t="s">
        <v>409</v>
      </c>
      <c r="E61" s="84" t="s">
        <v>372</v>
      </c>
      <c r="F61" s="84" t="s">
        <v>423</v>
      </c>
      <c r="G61" s="77" t="s">
        <v>425</v>
      </c>
    </row>
    <row r="62" spans="1:7" ht="24" customHeight="1" x14ac:dyDescent="0.25">
      <c r="A62" s="85"/>
      <c r="B62" s="86"/>
      <c r="C62" s="86"/>
      <c r="D62" s="86"/>
      <c r="E62" s="86">
        <f>SUM(A62:D62)</f>
        <v>0</v>
      </c>
      <c r="F62" s="86"/>
      <c r="G62" s="87">
        <f>SUM(E62:F62)</f>
        <v>0</v>
      </c>
    </row>
    <row r="63" spans="1:7" ht="30" customHeight="1" thickBot="1" x14ac:dyDescent="0.3">
      <c r="A63" s="88" t="s">
        <v>432</v>
      </c>
      <c r="B63" s="81">
        <v>0</v>
      </c>
      <c r="C63" s="89" t="s">
        <v>433</v>
      </c>
      <c r="D63" s="81">
        <v>0</v>
      </c>
      <c r="E63" s="89" t="s">
        <v>434</v>
      </c>
      <c r="F63" s="358">
        <f>B63-D63</f>
        <v>0</v>
      </c>
      <c r="G63" s="359"/>
    </row>
    <row r="64" spans="1:7" s="75" customFormat="1" ht="21" customHeight="1" x14ac:dyDescent="0.2">
      <c r="A64" s="355" t="s">
        <v>418</v>
      </c>
      <c r="B64" s="356"/>
      <c r="C64" s="356"/>
      <c r="D64" s="356"/>
      <c r="E64" s="356"/>
      <c r="F64" s="356"/>
      <c r="G64" s="357"/>
    </row>
    <row r="65" spans="1:7" ht="18" customHeight="1" x14ac:dyDescent="0.25">
      <c r="A65" s="83" t="s">
        <v>424</v>
      </c>
      <c r="B65" s="347" t="s">
        <v>403</v>
      </c>
      <c r="C65" s="348"/>
      <c r="D65" s="349"/>
      <c r="E65" s="347" t="s">
        <v>404</v>
      </c>
      <c r="F65" s="348"/>
      <c r="G65" s="350"/>
    </row>
    <row r="66" spans="1:7" ht="36" customHeight="1" x14ac:dyDescent="0.25">
      <c r="A66" s="76"/>
      <c r="B66" s="351"/>
      <c r="C66" s="352"/>
      <c r="D66" s="353"/>
      <c r="E66" s="351"/>
      <c r="F66" s="352"/>
      <c r="G66" s="354"/>
    </row>
    <row r="67" spans="1:7" ht="30" customHeight="1" x14ac:dyDescent="0.25">
      <c r="A67" s="83" t="s">
        <v>406</v>
      </c>
      <c r="B67" s="84" t="s">
        <v>407</v>
      </c>
      <c r="C67" s="84" t="s">
        <v>408</v>
      </c>
      <c r="D67" s="84" t="s">
        <v>409</v>
      </c>
      <c r="E67" s="84" t="s">
        <v>372</v>
      </c>
      <c r="F67" s="84" t="s">
        <v>423</v>
      </c>
      <c r="G67" s="77" t="s">
        <v>425</v>
      </c>
    </row>
    <row r="68" spans="1:7" ht="24" customHeight="1" x14ac:dyDescent="0.25">
      <c r="A68" s="85"/>
      <c r="B68" s="86"/>
      <c r="C68" s="86"/>
      <c r="D68" s="86"/>
      <c r="E68" s="86">
        <f>SUM(A68:D68)</f>
        <v>0</v>
      </c>
      <c r="F68" s="86"/>
      <c r="G68" s="87">
        <f>SUM(E68:F68)</f>
        <v>0</v>
      </c>
    </row>
    <row r="69" spans="1:7" ht="30" customHeight="1" thickBot="1" x14ac:dyDescent="0.3">
      <c r="A69" s="88" t="s">
        <v>432</v>
      </c>
      <c r="B69" s="81">
        <v>0</v>
      </c>
      <c r="C69" s="89" t="s">
        <v>433</v>
      </c>
      <c r="D69" s="81">
        <v>0</v>
      </c>
      <c r="E69" s="89" t="s">
        <v>434</v>
      </c>
      <c r="F69" s="358">
        <f>B69-D69</f>
        <v>0</v>
      </c>
      <c r="G69" s="359"/>
    </row>
    <row r="70" spans="1:7" s="75" customFormat="1" ht="21" customHeight="1" x14ac:dyDescent="0.2">
      <c r="A70" s="355" t="s">
        <v>419</v>
      </c>
      <c r="B70" s="356"/>
      <c r="C70" s="356"/>
      <c r="D70" s="356"/>
      <c r="E70" s="356"/>
      <c r="F70" s="356"/>
      <c r="G70" s="357"/>
    </row>
    <row r="71" spans="1:7" ht="18" customHeight="1" x14ac:dyDescent="0.25">
      <c r="A71" s="83" t="s">
        <v>424</v>
      </c>
      <c r="B71" s="347" t="s">
        <v>403</v>
      </c>
      <c r="C71" s="348"/>
      <c r="D71" s="349"/>
      <c r="E71" s="347" t="s">
        <v>404</v>
      </c>
      <c r="F71" s="348"/>
      <c r="G71" s="350"/>
    </row>
    <row r="72" spans="1:7" ht="36" customHeight="1" x14ac:dyDescent="0.25">
      <c r="A72" s="76"/>
      <c r="B72" s="351"/>
      <c r="C72" s="352"/>
      <c r="D72" s="353"/>
      <c r="E72" s="351"/>
      <c r="F72" s="352"/>
      <c r="G72" s="354"/>
    </row>
    <row r="73" spans="1:7" ht="30" customHeight="1" x14ac:dyDescent="0.25">
      <c r="A73" s="83" t="s">
        <v>406</v>
      </c>
      <c r="B73" s="84" t="s">
        <v>407</v>
      </c>
      <c r="C73" s="84" t="s">
        <v>408</v>
      </c>
      <c r="D73" s="84" t="s">
        <v>409</v>
      </c>
      <c r="E73" s="84" t="s">
        <v>372</v>
      </c>
      <c r="F73" s="84" t="s">
        <v>423</v>
      </c>
      <c r="G73" s="77" t="s">
        <v>425</v>
      </c>
    </row>
    <row r="74" spans="1:7" ht="24" customHeight="1" x14ac:dyDescent="0.25">
      <c r="A74" s="85"/>
      <c r="B74" s="86"/>
      <c r="C74" s="86"/>
      <c r="D74" s="86"/>
      <c r="E74" s="86">
        <f>SUM(A74:D74)</f>
        <v>0</v>
      </c>
      <c r="F74" s="86"/>
      <c r="G74" s="87">
        <f>SUM(E74:F74)</f>
        <v>0</v>
      </c>
    </row>
    <row r="75" spans="1:7" ht="30" customHeight="1" thickBot="1" x14ac:dyDescent="0.3">
      <c r="A75" s="88" t="s">
        <v>432</v>
      </c>
      <c r="B75" s="81">
        <v>0</v>
      </c>
      <c r="C75" s="89" t="s">
        <v>433</v>
      </c>
      <c r="D75" s="81">
        <v>0</v>
      </c>
      <c r="E75" s="89" t="s">
        <v>434</v>
      </c>
      <c r="F75" s="358">
        <f>B75-D75</f>
        <v>0</v>
      </c>
      <c r="G75" s="359"/>
    </row>
    <row r="76" spans="1:7" ht="30" customHeight="1" thickBot="1" x14ac:dyDescent="0.3">
      <c r="A76" s="367" t="s">
        <v>402</v>
      </c>
      <c r="B76" s="368"/>
      <c r="C76" s="368"/>
      <c r="D76" s="368"/>
      <c r="E76" s="368"/>
      <c r="F76" s="368"/>
      <c r="G76" s="369"/>
    </row>
    <row r="77" spans="1:7" s="78" customFormat="1" ht="21" customHeight="1" x14ac:dyDescent="0.25">
      <c r="A77" s="355" t="s">
        <v>420</v>
      </c>
      <c r="B77" s="356"/>
      <c r="C77" s="356"/>
      <c r="D77" s="356"/>
      <c r="E77" s="356"/>
      <c r="F77" s="356"/>
      <c r="G77" s="357"/>
    </row>
    <row r="78" spans="1:7" ht="18" customHeight="1" x14ac:dyDescent="0.25">
      <c r="A78" s="83" t="s">
        <v>424</v>
      </c>
      <c r="B78" s="347" t="s">
        <v>403</v>
      </c>
      <c r="C78" s="348"/>
      <c r="D78" s="349"/>
      <c r="E78" s="347" t="s">
        <v>404</v>
      </c>
      <c r="F78" s="348"/>
      <c r="G78" s="350"/>
    </row>
    <row r="79" spans="1:7" ht="36" customHeight="1" x14ac:dyDescent="0.25">
      <c r="A79" s="76"/>
      <c r="B79" s="351"/>
      <c r="C79" s="352"/>
      <c r="D79" s="353"/>
      <c r="E79" s="351"/>
      <c r="F79" s="352"/>
      <c r="G79" s="354"/>
    </row>
    <row r="80" spans="1:7" ht="30" customHeight="1" x14ac:dyDescent="0.25">
      <c r="A80" s="83" t="s">
        <v>406</v>
      </c>
      <c r="B80" s="84" t="s">
        <v>407</v>
      </c>
      <c r="C80" s="84" t="s">
        <v>408</v>
      </c>
      <c r="D80" s="84" t="s">
        <v>409</v>
      </c>
      <c r="E80" s="84" t="s">
        <v>372</v>
      </c>
      <c r="F80" s="84" t="s">
        <v>423</v>
      </c>
      <c r="G80" s="77" t="s">
        <v>425</v>
      </c>
    </row>
    <row r="81" spans="1:7" ht="24" customHeight="1" x14ac:dyDescent="0.25">
      <c r="A81" s="85"/>
      <c r="B81" s="86"/>
      <c r="C81" s="86"/>
      <c r="D81" s="86"/>
      <c r="E81" s="86">
        <f>SUM(A81:D81)</f>
        <v>0</v>
      </c>
      <c r="F81" s="86"/>
      <c r="G81" s="87">
        <f>SUM(E81:F81)</f>
        <v>0</v>
      </c>
    </row>
    <row r="82" spans="1:7" ht="30" customHeight="1" thickBot="1" x14ac:dyDescent="0.3">
      <c r="A82" s="88" t="s">
        <v>432</v>
      </c>
      <c r="B82" s="81">
        <v>0</v>
      </c>
      <c r="C82" s="89" t="s">
        <v>433</v>
      </c>
      <c r="D82" s="81">
        <v>0</v>
      </c>
      <c r="E82" s="89" t="s">
        <v>434</v>
      </c>
      <c r="F82" s="358">
        <f>B82-D82</f>
        <v>0</v>
      </c>
      <c r="G82" s="359"/>
    </row>
    <row r="83" spans="1:7" s="75" customFormat="1" ht="21" customHeight="1" x14ac:dyDescent="0.2">
      <c r="A83" s="355" t="s">
        <v>421</v>
      </c>
      <c r="B83" s="356"/>
      <c r="C83" s="356"/>
      <c r="D83" s="356"/>
      <c r="E83" s="356"/>
      <c r="F83" s="356"/>
      <c r="G83" s="357"/>
    </row>
    <row r="84" spans="1:7" ht="18" customHeight="1" x14ac:dyDescent="0.25">
      <c r="A84" s="83" t="s">
        <v>424</v>
      </c>
      <c r="B84" s="347" t="s">
        <v>403</v>
      </c>
      <c r="C84" s="348"/>
      <c r="D84" s="349"/>
      <c r="E84" s="347" t="s">
        <v>404</v>
      </c>
      <c r="F84" s="348"/>
      <c r="G84" s="350"/>
    </row>
    <row r="85" spans="1:7" ht="36" customHeight="1" x14ac:dyDescent="0.25">
      <c r="A85" s="76"/>
      <c r="B85" s="351"/>
      <c r="C85" s="352"/>
      <c r="D85" s="353"/>
      <c r="E85" s="351"/>
      <c r="F85" s="352"/>
      <c r="G85" s="354"/>
    </row>
    <row r="86" spans="1:7" ht="30" customHeight="1" x14ac:dyDescent="0.25">
      <c r="A86" s="83" t="s">
        <v>406</v>
      </c>
      <c r="B86" s="84" t="s">
        <v>407</v>
      </c>
      <c r="C86" s="84" t="s">
        <v>408</v>
      </c>
      <c r="D86" s="84" t="s">
        <v>409</v>
      </c>
      <c r="E86" s="84" t="s">
        <v>372</v>
      </c>
      <c r="F86" s="84" t="s">
        <v>423</v>
      </c>
      <c r="G86" s="77" t="s">
        <v>425</v>
      </c>
    </row>
    <row r="87" spans="1:7" ht="24" customHeight="1" x14ac:dyDescent="0.25">
      <c r="A87" s="85"/>
      <c r="B87" s="86"/>
      <c r="C87" s="86"/>
      <c r="D87" s="86"/>
      <c r="E87" s="86">
        <f>SUM(A87:D87)</f>
        <v>0</v>
      </c>
      <c r="F87" s="86"/>
      <c r="G87" s="87">
        <f>SUM(E87:F87)</f>
        <v>0</v>
      </c>
    </row>
    <row r="88" spans="1:7" ht="30" customHeight="1" thickBot="1" x14ac:dyDescent="0.3">
      <c r="A88" s="88" t="s">
        <v>432</v>
      </c>
      <c r="B88" s="81">
        <v>0</v>
      </c>
      <c r="C88" s="89" t="s">
        <v>433</v>
      </c>
      <c r="D88" s="81">
        <v>0</v>
      </c>
      <c r="E88" s="89" t="s">
        <v>434</v>
      </c>
      <c r="F88" s="358">
        <f>B88-D88</f>
        <v>0</v>
      </c>
      <c r="G88" s="359"/>
    </row>
    <row r="89" spans="1:7" s="75" customFormat="1" ht="21" customHeight="1" x14ac:dyDescent="0.2">
      <c r="A89" s="355" t="s">
        <v>422</v>
      </c>
      <c r="B89" s="356"/>
      <c r="C89" s="356"/>
      <c r="D89" s="356"/>
      <c r="E89" s="356"/>
      <c r="F89" s="356"/>
      <c r="G89" s="357"/>
    </row>
    <row r="90" spans="1:7" ht="18" customHeight="1" x14ac:dyDescent="0.25">
      <c r="A90" s="83" t="s">
        <v>424</v>
      </c>
      <c r="B90" s="347" t="s">
        <v>403</v>
      </c>
      <c r="C90" s="348"/>
      <c r="D90" s="349"/>
      <c r="E90" s="347" t="s">
        <v>404</v>
      </c>
      <c r="F90" s="348"/>
      <c r="G90" s="350"/>
    </row>
    <row r="91" spans="1:7" ht="36" customHeight="1" x14ac:dyDescent="0.25">
      <c r="A91" s="76"/>
      <c r="B91" s="351"/>
      <c r="C91" s="352"/>
      <c r="D91" s="353"/>
      <c r="E91" s="351"/>
      <c r="F91" s="352"/>
      <c r="G91" s="354"/>
    </row>
    <row r="92" spans="1:7" ht="30" customHeight="1" x14ac:dyDescent="0.25">
      <c r="A92" s="83" t="s">
        <v>406</v>
      </c>
      <c r="B92" s="84" t="s">
        <v>407</v>
      </c>
      <c r="C92" s="84" t="s">
        <v>408</v>
      </c>
      <c r="D92" s="84" t="s">
        <v>409</v>
      </c>
      <c r="E92" s="84" t="s">
        <v>372</v>
      </c>
      <c r="F92" s="84" t="s">
        <v>423</v>
      </c>
      <c r="G92" s="77" t="s">
        <v>425</v>
      </c>
    </row>
    <row r="93" spans="1:7" ht="24" customHeight="1" x14ac:dyDescent="0.25">
      <c r="A93" s="85"/>
      <c r="B93" s="86"/>
      <c r="C93" s="86"/>
      <c r="D93" s="86"/>
      <c r="E93" s="86">
        <f>SUM(A93:D93)</f>
        <v>0</v>
      </c>
      <c r="F93" s="86"/>
      <c r="G93" s="87">
        <f>SUM(E93:F93)</f>
        <v>0</v>
      </c>
    </row>
    <row r="94" spans="1:7" ht="30" customHeight="1" thickBot="1" x14ac:dyDescent="0.3">
      <c r="A94" s="88" t="s">
        <v>432</v>
      </c>
      <c r="B94" s="81">
        <v>0</v>
      </c>
      <c r="C94" s="89" t="s">
        <v>433</v>
      </c>
      <c r="D94" s="81">
        <v>0</v>
      </c>
      <c r="E94" s="89" t="s">
        <v>434</v>
      </c>
      <c r="F94" s="358">
        <f>B94-D94</f>
        <v>0</v>
      </c>
      <c r="G94" s="359"/>
    </row>
    <row r="95" spans="1:7" s="75" customFormat="1" ht="21" customHeight="1" x14ac:dyDescent="0.2">
      <c r="A95" s="355" t="s">
        <v>431</v>
      </c>
      <c r="B95" s="356"/>
      <c r="C95" s="356"/>
      <c r="D95" s="356"/>
      <c r="E95" s="356"/>
      <c r="F95" s="356"/>
      <c r="G95" s="357"/>
    </row>
    <row r="96" spans="1:7" ht="18" customHeight="1" x14ac:dyDescent="0.25">
      <c r="A96" s="83" t="s">
        <v>424</v>
      </c>
      <c r="B96" s="347" t="s">
        <v>403</v>
      </c>
      <c r="C96" s="348"/>
      <c r="D96" s="349"/>
      <c r="E96" s="347" t="s">
        <v>404</v>
      </c>
      <c r="F96" s="348"/>
      <c r="G96" s="350"/>
    </row>
    <row r="97" spans="1:7" ht="36" customHeight="1" x14ac:dyDescent="0.25">
      <c r="A97" s="76"/>
      <c r="B97" s="351"/>
      <c r="C97" s="352"/>
      <c r="D97" s="353"/>
      <c r="E97" s="351"/>
      <c r="F97" s="352"/>
      <c r="G97" s="354"/>
    </row>
    <row r="98" spans="1:7" ht="30" customHeight="1" x14ac:dyDescent="0.25">
      <c r="A98" s="83" t="s">
        <v>406</v>
      </c>
      <c r="B98" s="84" t="s">
        <v>407</v>
      </c>
      <c r="C98" s="84" t="s">
        <v>408</v>
      </c>
      <c r="D98" s="84" t="s">
        <v>409</v>
      </c>
      <c r="E98" s="84" t="s">
        <v>372</v>
      </c>
      <c r="F98" s="84" t="s">
        <v>423</v>
      </c>
      <c r="G98" s="77" t="s">
        <v>425</v>
      </c>
    </row>
    <row r="99" spans="1:7" ht="24" customHeight="1" x14ac:dyDescent="0.25">
      <c r="A99" s="85"/>
      <c r="B99" s="86"/>
      <c r="C99" s="86"/>
      <c r="D99" s="86"/>
      <c r="E99" s="86">
        <f>SUM(A99:D99)</f>
        <v>0</v>
      </c>
      <c r="F99" s="86"/>
      <c r="G99" s="87">
        <f>SUM(E99:F99)</f>
        <v>0</v>
      </c>
    </row>
    <row r="100" spans="1:7" ht="30" customHeight="1" thickBot="1" x14ac:dyDescent="0.3">
      <c r="A100" s="88" t="s">
        <v>432</v>
      </c>
      <c r="B100" s="81">
        <v>0</v>
      </c>
      <c r="C100" s="89" t="s">
        <v>433</v>
      </c>
      <c r="D100" s="81">
        <v>0</v>
      </c>
      <c r="E100" s="89" t="s">
        <v>434</v>
      </c>
      <c r="F100" s="358">
        <f>B100-D100</f>
        <v>0</v>
      </c>
      <c r="G100" s="359"/>
    </row>
  </sheetData>
  <mergeCells count="99">
    <mergeCell ref="B85:D85"/>
    <mergeCell ref="E85:G85"/>
    <mergeCell ref="F57:G57"/>
    <mergeCell ref="F63:G63"/>
    <mergeCell ref="F100:G100"/>
    <mergeCell ref="A76:G76"/>
    <mergeCell ref="A77:G77"/>
    <mergeCell ref="F82:G82"/>
    <mergeCell ref="A83:G83"/>
    <mergeCell ref="F88:G88"/>
    <mergeCell ref="A89:G89"/>
    <mergeCell ref="F94:G94"/>
    <mergeCell ref="B78:D78"/>
    <mergeCell ref="E78:G78"/>
    <mergeCell ref="B79:D79"/>
    <mergeCell ref="E79:G79"/>
    <mergeCell ref="A70:G70"/>
    <mergeCell ref="F69:G69"/>
    <mergeCell ref="A58:G58"/>
    <mergeCell ref="B28:D28"/>
    <mergeCell ref="E28:G28"/>
    <mergeCell ref="B34:D34"/>
    <mergeCell ref="E34:G34"/>
    <mergeCell ref="B35:D35"/>
    <mergeCell ref="E35:G35"/>
    <mergeCell ref="F38:G38"/>
    <mergeCell ref="A33:G33"/>
    <mergeCell ref="B29:D29"/>
    <mergeCell ref="E29:G29"/>
    <mergeCell ref="B40:D40"/>
    <mergeCell ref="E40:G40"/>
    <mergeCell ref="B41:D41"/>
    <mergeCell ref="A6:G6"/>
    <mergeCell ref="A13:G13"/>
    <mergeCell ref="A19:G19"/>
    <mergeCell ref="F12:G12"/>
    <mergeCell ref="F18:G18"/>
    <mergeCell ref="A7:G7"/>
    <mergeCell ref="B15:D15"/>
    <mergeCell ref="E15:G15"/>
    <mergeCell ref="B8:D8"/>
    <mergeCell ref="E8:G8"/>
    <mergeCell ref="B9:D9"/>
    <mergeCell ref="E9:G9"/>
    <mergeCell ref="B14:D14"/>
    <mergeCell ref="E14:G14"/>
    <mergeCell ref="B20:D20"/>
    <mergeCell ref="A26:G26"/>
    <mergeCell ref="A27:G27"/>
    <mergeCell ref="E20:G20"/>
    <mergeCell ref="B21:D21"/>
    <mergeCell ref="E21:G21"/>
    <mergeCell ref="F24:G24"/>
    <mergeCell ref="A1:G1"/>
    <mergeCell ref="A2:G2"/>
    <mergeCell ref="A3:G3"/>
    <mergeCell ref="A4:G4"/>
    <mergeCell ref="A5:G5"/>
    <mergeCell ref="E41:G41"/>
    <mergeCell ref="F32:G32"/>
    <mergeCell ref="A39:G39"/>
    <mergeCell ref="B46:D46"/>
    <mergeCell ref="E46:G46"/>
    <mergeCell ref="F44:G44"/>
    <mergeCell ref="B47:D47"/>
    <mergeCell ref="E47:G47"/>
    <mergeCell ref="A45:G45"/>
    <mergeCell ref="A51:G51"/>
    <mergeCell ref="A52:G52"/>
    <mergeCell ref="A64:G64"/>
    <mergeCell ref="F50:G50"/>
    <mergeCell ref="B66:D66"/>
    <mergeCell ref="E66:G66"/>
    <mergeCell ref="E60:G60"/>
    <mergeCell ref="B65:D65"/>
    <mergeCell ref="E65:G65"/>
    <mergeCell ref="B53:D53"/>
    <mergeCell ref="E53:G53"/>
    <mergeCell ref="B54:D54"/>
    <mergeCell ref="E54:G54"/>
    <mergeCell ref="B59:D59"/>
    <mergeCell ref="E59:G59"/>
    <mergeCell ref="B60:D60"/>
    <mergeCell ref="B71:D71"/>
    <mergeCell ref="E71:G71"/>
    <mergeCell ref="B72:D72"/>
    <mergeCell ref="E72:G72"/>
    <mergeCell ref="B97:D97"/>
    <mergeCell ref="E97:G97"/>
    <mergeCell ref="B90:D90"/>
    <mergeCell ref="E90:G90"/>
    <mergeCell ref="B91:D91"/>
    <mergeCell ref="E91:G91"/>
    <mergeCell ref="B96:D96"/>
    <mergeCell ref="E96:G96"/>
    <mergeCell ref="A95:G95"/>
    <mergeCell ref="B84:D84"/>
    <mergeCell ref="E84:G84"/>
    <mergeCell ref="F75:G75"/>
  </mergeCells>
  <pageMargins left="0.7" right="0.7" top="1.25" bottom="0.78" header="0.3" footer="0.3"/>
  <pageSetup orientation="portrait" r:id="rId1"/>
  <headerFooter>
    <oddHeader>&amp;C&amp;G
&amp;"Century Gothic,Regular"&amp;18&amp;K252260Strategic Objectives Worksheet&amp;R&amp;"Century Gothic,Regular"&amp;9&amp;K252260Page &amp;P of &amp;N</oddHeader>
    <oddFooter>&amp;C&amp;"Century Gothic,Regular"&amp;9&amp;K252260Learn how our award-winning software can help you achieve your fundraising goals at DonorView.com.</oddFooter>
  </headerFooter>
  <rowBreaks count="3" manualBreakCount="3">
    <brk id="25" max="16383" man="1"/>
    <brk id="50" max="16383" man="1"/>
    <brk id="75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2EBB-FF1E-4E5E-B832-ECF1E61B8DCD}">
  <dimension ref="A1:H287"/>
  <sheetViews>
    <sheetView topLeftCell="A143" workbookViewId="0">
      <selection activeCell="I145" sqref="I145"/>
    </sheetView>
  </sheetViews>
  <sheetFormatPr defaultRowHeight="15" x14ac:dyDescent="0.25"/>
  <cols>
    <col min="1" max="8" width="11.28515625" customWidth="1"/>
  </cols>
  <sheetData>
    <row r="1" spans="1:8" ht="30" customHeight="1" thickBot="1" x14ac:dyDescent="0.3">
      <c r="A1" s="211" t="s">
        <v>48</v>
      </c>
      <c r="B1" s="212"/>
      <c r="C1" s="212"/>
      <c r="D1" s="212"/>
      <c r="E1" s="212"/>
      <c r="F1" s="212"/>
      <c r="G1" s="212"/>
      <c r="H1" s="213"/>
    </row>
    <row r="2" spans="1:8" ht="24" customHeight="1" x14ac:dyDescent="0.25">
      <c r="A2" s="431" t="s">
        <v>49</v>
      </c>
      <c r="B2" s="432"/>
      <c r="C2" s="432"/>
      <c r="D2" s="432"/>
      <c r="E2" s="432"/>
      <c r="F2" s="432"/>
      <c r="G2" s="432"/>
      <c r="H2" s="433"/>
    </row>
    <row r="3" spans="1:8" ht="36.75" customHeight="1" x14ac:dyDescent="0.25">
      <c r="A3" s="263" t="s">
        <v>50</v>
      </c>
      <c r="B3" s="264"/>
      <c r="C3" s="221"/>
      <c r="D3" s="221"/>
      <c r="E3" s="221"/>
      <c r="F3" s="221"/>
      <c r="G3" s="221"/>
      <c r="H3" s="222"/>
    </row>
    <row r="4" spans="1:8" ht="30.75" customHeight="1" x14ac:dyDescent="0.25">
      <c r="A4" s="263"/>
      <c r="B4" s="264"/>
      <c r="C4" s="221"/>
      <c r="D4" s="221"/>
      <c r="E4" s="221"/>
      <c r="F4" s="221"/>
      <c r="G4" s="221"/>
      <c r="H4" s="222"/>
    </row>
    <row r="5" spans="1:8" ht="18" customHeight="1" x14ac:dyDescent="0.25">
      <c r="A5" s="434" t="s">
        <v>51</v>
      </c>
      <c r="B5" s="435"/>
      <c r="C5" s="435"/>
      <c r="D5" s="435"/>
      <c r="E5" s="435"/>
      <c r="F5" s="435"/>
      <c r="G5" s="435"/>
      <c r="H5" s="436"/>
    </row>
    <row r="6" spans="1:8" ht="18" customHeight="1" x14ac:dyDescent="0.25">
      <c r="A6" s="263" t="s">
        <v>52</v>
      </c>
      <c r="B6" s="264"/>
      <c r="C6" s="437">
        <v>0</v>
      </c>
      <c r="D6" s="437"/>
      <c r="E6" s="264" t="s">
        <v>53</v>
      </c>
      <c r="F6" s="264"/>
      <c r="G6" s="437">
        <v>0</v>
      </c>
      <c r="H6" s="438"/>
    </row>
    <row r="7" spans="1:8" ht="18" customHeight="1" x14ac:dyDescent="0.25">
      <c r="A7" s="434" t="s">
        <v>54</v>
      </c>
      <c r="B7" s="435"/>
      <c r="C7" s="435"/>
      <c r="D7" s="435"/>
      <c r="E7" s="435"/>
      <c r="F7" s="435"/>
      <c r="G7" s="435"/>
      <c r="H7" s="436"/>
    </row>
    <row r="8" spans="1:8" ht="18" customHeight="1" x14ac:dyDescent="0.25">
      <c r="A8" s="220"/>
      <c r="B8" s="221"/>
      <c r="C8" s="221"/>
      <c r="D8" s="14"/>
      <c r="E8" s="221"/>
      <c r="F8" s="221"/>
      <c r="G8" s="221"/>
      <c r="H8" s="16"/>
    </row>
    <row r="9" spans="1:8" ht="18" customHeight="1" x14ac:dyDescent="0.25">
      <c r="A9" s="246"/>
      <c r="B9" s="224"/>
      <c r="C9" s="247"/>
      <c r="D9" s="14"/>
      <c r="E9" s="223"/>
      <c r="F9" s="224"/>
      <c r="G9" s="247"/>
      <c r="H9" s="16"/>
    </row>
    <row r="10" spans="1:8" ht="18" customHeight="1" x14ac:dyDescent="0.25">
      <c r="A10" s="246"/>
      <c r="B10" s="224"/>
      <c r="C10" s="247"/>
      <c r="D10" s="14"/>
      <c r="E10" s="223"/>
      <c r="F10" s="224"/>
      <c r="G10" s="247"/>
      <c r="H10" s="16"/>
    </row>
    <row r="11" spans="1:8" ht="18" customHeight="1" x14ac:dyDescent="0.25">
      <c r="A11" s="220"/>
      <c r="B11" s="221"/>
      <c r="C11" s="221"/>
      <c r="D11" s="14"/>
      <c r="E11" s="221"/>
      <c r="F11" s="221"/>
      <c r="G11" s="221"/>
      <c r="H11" s="16"/>
    </row>
    <row r="12" spans="1:8" ht="18" customHeight="1" thickBot="1" x14ac:dyDescent="0.3">
      <c r="A12" s="231"/>
      <c r="B12" s="232"/>
      <c r="C12" s="232"/>
      <c r="D12" s="15"/>
      <c r="E12" s="232"/>
      <c r="F12" s="232"/>
      <c r="G12" s="232"/>
      <c r="H12" s="28"/>
    </row>
    <row r="13" spans="1:8" ht="18" customHeight="1" x14ac:dyDescent="0.25">
      <c r="A13" s="428" t="s">
        <v>55</v>
      </c>
      <c r="B13" s="429"/>
      <c r="C13" s="429"/>
      <c r="D13" s="429"/>
      <c r="E13" s="429"/>
      <c r="F13" s="429"/>
      <c r="G13" s="429"/>
      <c r="H13" s="430"/>
    </row>
    <row r="14" spans="1:8" ht="18" customHeight="1" x14ac:dyDescent="0.25">
      <c r="A14" s="426" t="s">
        <v>56</v>
      </c>
      <c r="B14" s="427"/>
      <c r="C14" s="221"/>
      <c r="D14" s="221"/>
      <c r="E14" s="221"/>
      <c r="F14" s="221"/>
      <c r="G14" s="221"/>
      <c r="H14" s="222"/>
    </row>
    <row r="15" spans="1:8" ht="18" customHeight="1" x14ac:dyDescent="0.25">
      <c r="A15" s="41" t="s">
        <v>130</v>
      </c>
      <c r="B15" s="42" t="s">
        <v>60</v>
      </c>
      <c r="C15" s="379" t="s">
        <v>92</v>
      </c>
      <c r="D15" s="381"/>
      <c r="E15" s="381"/>
      <c r="F15" s="380"/>
      <c r="G15" s="42" t="s">
        <v>57</v>
      </c>
      <c r="H15" s="43" t="s">
        <v>131</v>
      </c>
    </row>
    <row r="16" spans="1:8" ht="18" customHeight="1" x14ac:dyDescent="0.25">
      <c r="A16" s="1"/>
      <c r="B16" s="2"/>
      <c r="C16" s="223"/>
      <c r="D16" s="224"/>
      <c r="E16" s="224"/>
      <c r="F16" s="247"/>
      <c r="G16" s="13"/>
      <c r="H16" s="53"/>
    </row>
    <row r="17" spans="1:8" ht="18" customHeight="1" x14ac:dyDescent="0.25">
      <c r="A17" s="1"/>
      <c r="B17" s="2"/>
      <c r="C17" s="223"/>
      <c r="D17" s="224"/>
      <c r="E17" s="224"/>
      <c r="F17" s="247"/>
      <c r="G17" s="13"/>
      <c r="H17" s="53"/>
    </row>
    <row r="18" spans="1:8" ht="18" customHeight="1" x14ac:dyDescent="0.25">
      <c r="A18" s="1"/>
      <c r="B18" s="2"/>
      <c r="C18" s="223"/>
      <c r="D18" s="224"/>
      <c r="E18" s="224"/>
      <c r="F18" s="247"/>
      <c r="G18" s="13"/>
      <c r="H18" s="53"/>
    </row>
    <row r="19" spans="1:8" ht="18" customHeight="1" x14ac:dyDescent="0.25">
      <c r="A19" s="1"/>
      <c r="B19" s="2"/>
      <c r="C19" s="223"/>
      <c r="D19" s="224"/>
      <c r="E19" s="224"/>
      <c r="F19" s="247"/>
      <c r="G19" s="13"/>
      <c r="H19" s="53"/>
    </row>
    <row r="20" spans="1:8" ht="18" customHeight="1" thickBot="1" x14ac:dyDescent="0.3">
      <c r="A20" s="4"/>
      <c r="B20" s="5"/>
      <c r="C20" s="396"/>
      <c r="D20" s="251"/>
      <c r="E20" s="251"/>
      <c r="F20" s="252"/>
      <c r="G20" s="37"/>
      <c r="H20" s="54"/>
    </row>
    <row r="21" spans="1:8" ht="18" customHeight="1" x14ac:dyDescent="0.25">
      <c r="A21" s="426" t="s">
        <v>56</v>
      </c>
      <c r="B21" s="427"/>
      <c r="C21" s="221"/>
      <c r="D21" s="221"/>
      <c r="E21" s="221"/>
      <c r="F21" s="221"/>
      <c r="G21" s="221"/>
      <c r="H21" s="222"/>
    </row>
    <row r="22" spans="1:8" ht="18" customHeight="1" x14ac:dyDescent="0.25">
      <c r="A22" s="41" t="s">
        <v>130</v>
      </c>
      <c r="B22" s="42" t="s">
        <v>60</v>
      </c>
      <c r="C22" s="379" t="s">
        <v>92</v>
      </c>
      <c r="D22" s="381"/>
      <c r="E22" s="381"/>
      <c r="F22" s="380"/>
      <c r="G22" s="42" t="s">
        <v>57</v>
      </c>
      <c r="H22" s="43" t="s">
        <v>131</v>
      </c>
    </row>
    <row r="23" spans="1:8" ht="18" customHeight="1" x14ac:dyDescent="0.25">
      <c r="A23" s="1"/>
      <c r="B23" s="2"/>
      <c r="C23" s="223"/>
      <c r="D23" s="224"/>
      <c r="E23" s="224"/>
      <c r="F23" s="247"/>
      <c r="G23" s="13"/>
      <c r="H23" s="53"/>
    </row>
    <row r="24" spans="1:8" ht="18" customHeight="1" x14ac:dyDescent="0.25">
      <c r="A24" s="1"/>
      <c r="B24" s="2"/>
      <c r="C24" s="223"/>
      <c r="D24" s="224"/>
      <c r="E24" s="224"/>
      <c r="F24" s="247"/>
      <c r="G24" s="13"/>
      <c r="H24" s="53"/>
    </row>
    <row r="25" spans="1:8" ht="18" customHeight="1" x14ac:dyDescent="0.25">
      <c r="A25" s="1"/>
      <c r="B25" s="2"/>
      <c r="C25" s="223"/>
      <c r="D25" s="224"/>
      <c r="E25" s="224"/>
      <c r="F25" s="247"/>
      <c r="G25" s="13"/>
      <c r="H25" s="53"/>
    </row>
    <row r="26" spans="1:8" ht="18" customHeight="1" x14ac:dyDescent="0.25">
      <c r="A26" s="1"/>
      <c r="B26" s="2"/>
      <c r="C26" s="223"/>
      <c r="D26" s="224"/>
      <c r="E26" s="224"/>
      <c r="F26" s="247"/>
      <c r="G26" s="13"/>
      <c r="H26" s="53"/>
    </row>
    <row r="27" spans="1:8" ht="18" customHeight="1" thickBot="1" x14ac:dyDescent="0.3">
      <c r="A27" s="4"/>
      <c r="B27" s="5"/>
      <c r="C27" s="396"/>
      <c r="D27" s="251"/>
      <c r="E27" s="251"/>
      <c r="F27" s="252"/>
      <c r="G27" s="37"/>
      <c r="H27" s="54"/>
    </row>
    <row r="28" spans="1:8" ht="18" customHeight="1" x14ac:dyDescent="0.25">
      <c r="A28" s="426" t="s">
        <v>56</v>
      </c>
      <c r="B28" s="427"/>
      <c r="C28" s="221"/>
      <c r="D28" s="221"/>
      <c r="E28" s="221"/>
      <c r="F28" s="221"/>
      <c r="G28" s="221"/>
      <c r="H28" s="222"/>
    </row>
    <row r="29" spans="1:8" ht="18" customHeight="1" x14ac:dyDescent="0.25">
      <c r="A29" s="41" t="s">
        <v>130</v>
      </c>
      <c r="B29" s="42" t="s">
        <v>60</v>
      </c>
      <c r="C29" s="379" t="s">
        <v>92</v>
      </c>
      <c r="D29" s="381"/>
      <c r="E29" s="381"/>
      <c r="F29" s="380"/>
      <c r="G29" s="42" t="s">
        <v>57</v>
      </c>
      <c r="H29" s="43" t="s">
        <v>131</v>
      </c>
    </row>
    <row r="30" spans="1:8" ht="18" customHeight="1" x14ac:dyDescent="0.25">
      <c r="A30" s="1"/>
      <c r="B30" s="2"/>
      <c r="C30" s="223"/>
      <c r="D30" s="224"/>
      <c r="E30" s="224"/>
      <c r="F30" s="247"/>
      <c r="G30" s="13"/>
      <c r="H30" s="53"/>
    </row>
    <row r="31" spans="1:8" ht="18" customHeight="1" x14ac:dyDescent="0.25">
      <c r="A31" s="1"/>
      <c r="B31" s="2"/>
      <c r="C31" s="223"/>
      <c r="D31" s="224"/>
      <c r="E31" s="224"/>
      <c r="F31" s="247"/>
      <c r="G31" s="13"/>
      <c r="H31" s="53"/>
    </row>
    <row r="32" spans="1:8" ht="18" customHeight="1" x14ac:dyDescent="0.25">
      <c r="A32" s="1"/>
      <c r="B32" s="2"/>
      <c r="C32" s="223"/>
      <c r="D32" s="224"/>
      <c r="E32" s="224"/>
      <c r="F32" s="247"/>
      <c r="G32" s="13"/>
      <c r="H32" s="53"/>
    </row>
    <row r="33" spans="1:8" ht="18" customHeight="1" x14ac:dyDescent="0.25">
      <c r="A33" s="1"/>
      <c r="B33" s="2"/>
      <c r="C33" s="223"/>
      <c r="D33" s="224"/>
      <c r="E33" s="224"/>
      <c r="F33" s="247"/>
      <c r="G33" s="13"/>
      <c r="H33" s="53"/>
    </row>
    <row r="34" spans="1:8" ht="18" customHeight="1" thickBot="1" x14ac:dyDescent="0.3">
      <c r="A34" s="4"/>
      <c r="B34" s="5"/>
      <c r="C34" s="396"/>
      <c r="D34" s="251"/>
      <c r="E34" s="251"/>
      <c r="F34" s="252"/>
      <c r="G34" s="37"/>
      <c r="H34" s="54"/>
    </row>
    <row r="35" spans="1:8" ht="18" customHeight="1" x14ac:dyDescent="0.25">
      <c r="A35" s="426" t="s">
        <v>56</v>
      </c>
      <c r="B35" s="427"/>
      <c r="C35" s="221"/>
      <c r="D35" s="221"/>
      <c r="E35" s="221"/>
      <c r="F35" s="221"/>
      <c r="G35" s="221"/>
      <c r="H35" s="222"/>
    </row>
    <row r="36" spans="1:8" ht="18" customHeight="1" x14ac:dyDescent="0.25">
      <c r="A36" s="41" t="s">
        <v>130</v>
      </c>
      <c r="B36" s="42" t="s">
        <v>60</v>
      </c>
      <c r="C36" s="379" t="s">
        <v>92</v>
      </c>
      <c r="D36" s="381"/>
      <c r="E36" s="381"/>
      <c r="F36" s="380"/>
      <c r="G36" s="42" t="s">
        <v>57</v>
      </c>
      <c r="H36" s="43" t="s">
        <v>131</v>
      </c>
    </row>
    <row r="37" spans="1:8" ht="18" customHeight="1" x14ac:dyDescent="0.25">
      <c r="A37" s="1"/>
      <c r="B37" s="2"/>
      <c r="C37" s="223"/>
      <c r="D37" s="224"/>
      <c r="E37" s="224"/>
      <c r="F37" s="247"/>
      <c r="G37" s="13"/>
      <c r="H37" s="53"/>
    </row>
    <row r="38" spans="1:8" ht="18" customHeight="1" x14ac:dyDescent="0.25">
      <c r="A38" s="1"/>
      <c r="B38" s="2"/>
      <c r="C38" s="223"/>
      <c r="D38" s="224"/>
      <c r="E38" s="224"/>
      <c r="F38" s="247"/>
      <c r="G38" s="13"/>
      <c r="H38" s="53"/>
    </row>
    <row r="39" spans="1:8" ht="18" customHeight="1" x14ac:dyDescent="0.25">
      <c r="A39" s="1"/>
      <c r="B39" s="2"/>
      <c r="C39" s="223"/>
      <c r="D39" s="224"/>
      <c r="E39" s="224"/>
      <c r="F39" s="247"/>
      <c r="G39" s="13"/>
      <c r="H39" s="53"/>
    </row>
    <row r="40" spans="1:8" ht="18" customHeight="1" x14ac:dyDescent="0.25">
      <c r="A40" s="1"/>
      <c r="B40" s="2"/>
      <c r="C40" s="223"/>
      <c r="D40" s="224"/>
      <c r="E40" s="224"/>
      <c r="F40" s="247"/>
      <c r="G40" s="13"/>
      <c r="H40" s="53"/>
    </row>
    <row r="41" spans="1:8" ht="18" customHeight="1" thickBot="1" x14ac:dyDescent="0.3">
      <c r="A41" s="4"/>
      <c r="B41" s="5"/>
      <c r="C41" s="396"/>
      <c r="D41" s="251"/>
      <c r="E41" s="251"/>
      <c r="F41" s="252"/>
      <c r="G41" s="37"/>
      <c r="H41" s="54"/>
    </row>
    <row r="42" spans="1:8" ht="18" customHeight="1" x14ac:dyDescent="0.25">
      <c r="A42" s="426" t="s">
        <v>56</v>
      </c>
      <c r="B42" s="427"/>
      <c r="C42" s="221"/>
      <c r="D42" s="221"/>
      <c r="E42" s="221"/>
      <c r="F42" s="221"/>
      <c r="G42" s="221"/>
      <c r="H42" s="222"/>
    </row>
    <row r="43" spans="1:8" ht="18" customHeight="1" x14ac:dyDescent="0.25">
      <c r="A43" s="41" t="s">
        <v>130</v>
      </c>
      <c r="B43" s="42" t="s">
        <v>60</v>
      </c>
      <c r="C43" s="379" t="s">
        <v>92</v>
      </c>
      <c r="D43" s="381"/>
      <c r="E43" s="381"/>
      <c r="F43" s="380"/>
      <c r="G43" s="42" t="s">
        <v>57</v>
      </c>
      <c r="H43" s="43" t="s">
        <v>131</v>
      </c>
    </row>
    <row r="44" spans="1:8" ht="18" customHeight="1" x14ac:dyDescent="0.25">
      <c r="A44" s="1"/>
      <c r="B44" s="2"/>
      <c r="C44" s="223"/>
      <c r="D44" s="224"/>
      <c r="E44" s="224"/>
      <c r="F44" s="247"/>
      <c r="G44" s="13"/>
      <c r="H44" s="53"/>
    </row>
    <row r="45" spans="1:8" ht="18" customHeight="1" x14ac:dyDescent="0.25">
      <c r="A45" s="1"/>
      <c r="B45" s="2"/>
      <c r="C45" s="223"/>
      <c r="D45" s="224"/>
      <c r="E45" s="224"/>
      <c r="F45" s="247"/>
      <c r="G45" s="13"/>
      <c r="H45" s="53"/>
    </row>
    <row r="46" spans="1:8" ht="18" customHeight="1" x14ac:dyDescent="0.25">
      <c r="A46" s="1"/>
      <c r="B46" s="2"/>
      <c r="C46" s="223"/>
      <c r="D46" s="224"/>
      <c r="E46" s="224"/>
      <c r="F46" s="247"/>
      <c r="G46" s="13"/>
      <c r="H46" s="53"/>
    </row>
    <row r="47" spans="1:8" ht="18" customHeight="1" x14ac:dyDescent="0.25">
      <c r="A47" s="1"/>
      <c r="B47" s="2"/>
      <c r="C47" s="223"/>
      <c r="D47" s="224"/>
      <c r="E47" s="224"/>
      <c r="F47" s="247"/>
      <c r="G47" s="13"/>
      <c r="H47" s="53"/>
    </row>
    <row r="48" spans="1:8" ht="18" customHeight="1" thickBot="1" x14ac:dyDescent="0.3">
      <c r="A48" s="4"/>
      <c r="B48" s="5"/>
      <c r="C48" s="396"/>
      <c r="D48" s="251"/>
      <c r="E48" s="251"/>
      <c r="F48" s="252"/>
      <c r="G48" s="37"/>
      <c r="H48" s="54"/>
    </row>
    <row r="49" spans="1:8" ht="18" customHeight="1" x14ac:dyDescent="0.25">
      <c r="A49" s="426" t="s">
        <v>56</v>
      </c>
      <c r="B49" s="427"/>
      <c r="C49" s="221"/>
      <c r="D49" s="221"/>
      <c r="E49" s="221"/>
      <c r="F49" s="221"/>
      <c r="G49" s="221"/>
      <c r="H49" s="222"/>
    </row>
    <row r="50" spans="1:8" ht="18" customHeight="1" x14ac:dyDescent="0.25">
      <c r="A50" s="41" t="s">
        <v>130</v>
      </c>
      <c r="B50" s="42" t="s">
        <v>60</v>
      </c>
      <c r="C50" s="379" t="s">
        <v>92</v>
      </c>
      <c r="D50" s="381"/>
      <c r="E50" s="381"/>
      <c r="F50" s="380"/>
      <c r="G50" s="42" t="s">
        <v>57</v>
      </c>
      <c r="H50" s="43" t="s">
        <v>131</v>
      </c>
    </row>
    <row r="51" spans="1:8" ht="18" customHeight="1" x14ac:dyDescent="0.25">
      <c r="A51" s="1"/>
      <c r="B51" s="2"/>
      <c r="C51" s="223"/>
      <c r="D51" s="224"/>
      <c r="E51" s="224"/>
      <c r="F51" s="247"/>
      <c r="G51" s="13"/>
      <c r="H51" s="53"/>
    </row>
    <row r="52" spans="1:8" ht="18" customHeight="1" x14ac:dyDescent="0.25">
      <c r="A52" s="1"/>
      <c r="B52" s="2"/>
      <c r="C52" s="223"/>
      <c r="D52" s="224"/>
      <c r="E52" s="224"/>
      <c r="F52" s="247"/>
      <c r="G52" s="13"/>
      <c r="H52" s="53"/>
    </row>
    <row r="53" spans="1:8" ht="18" customHeight="1" x14ac:dyDescent="0.25">
      <c r="A53" s="1"/>
      <c r="B53" s="2"/>
      <c r="C53" s="223"/>
      <c r="D53" s="224"/>
      <c r="E53" s="224"/>
      <c r="F53" s="247"/>
      <c r="G53" s="13"/>
      <c r="H53" s="53"/>
    </row>
    <row r="54" spans="1:8" ht="18" customHeight="1" x14ac:dyDescent="0.25">
      <c r="A54" s="1"/>
      <c r="B54" s="2"/>
      <c r="C54" s="223"/>
      <c r="D54" s="224"/>
      <c r="E54" s="224"/>
      <c r="F54" s="247"/>
      <c r="G54" s="13"/>
      <c r="H54" s="53"/>
    </row>
    <row r="55" spans="1:8" ht="18" customHeight="1" thickBot="1" x14ac:dyDescent="0.3">
      <c r="A55" s="4"/>
      <c r="B55" s="5"/>
      <c r="C55" s="396"/>
      <c r="D55" s="251"/>
      <c r="E55" s="251"/>
      <c r="F55" s="252"/>
      <c r="G55" s="37"/>
      <c r="H55" s="54"/>
    </row>
    <row r="56" spans="1:8" ht="18" customHeight="1" x14ac:dyDescent="0.25">
      <c r="A56" s="426" t="s">
        <v>56</v>
      </c>
      <c r="B56" s="427"/>
      <c r="C56" s="221"/>
      <c r="D56" s="221"/>
      <c r="E56" s="221"/>
      <c r="F56" s="221"/>
      <c r="G56" s="221"/>
      <c r="H56" s="222"/>
    </row>
    <row r="57" spans="1:8" ht="18" customHeight="1" x14ac:dyDescent="0.25">
      <c r="A57" s="41" t="s">
        <v>130</v>
      </c>
      <c r="B57" s="42" t="s">
        <v>60</v>
      </c>
      <c r="C57" s="379" t="s">
        <v>92</v>
      </c>
      <c r="D57" s="381"/>
      <c r="E57" s="381"/>
      <c r="F57" s="380"/>
      <c r="G57" s="42" t="s">
        <v>57</v>
      </c>
      <c r="H57" s="43" t="s">
        <v>131</v>
      </c>
    </row>
    <row r="58" spans="1:8" ht="18" customHeight="1" x14ac:dyDescent="0.25">
      <c r="A58" s="1"/>
      <c r="B58" s="2"/>
      <c r="C58" s="223"/>
      <c r="D58" s="224"/>
      <c r="E58" s="224"/>
      <c r="F58" s="247"/>
      <c r="G58" s="13"/>
      <c r="H58" s="53"/>
    </row>
    <row r="59" spans="1:8" ht="18" customHeight="1" x14ac:dyDescent="0.25">
      <c r="A59" s="1"/>
      <c r="B59" s="2"/>
      <c r="C59" s="223"/>
      <c r="D59" s="224"/>
      <c r="E59" s="224"/>
      <c r="F59" s="247"/>
      <c r="G59" s="13"/>
      <c r="H59" s="53"/>
    </row>
    <row r="60" spans="1:8" ht="18" customHeight="1" x14ac:dyDescent="0.25">
      <c r="A60" s="1"/>
      <c r="B60" s="2"/>
      <c r="C60" s="223"/>
      <c r="D60" s="224"/>
      <c r="E60" s="224"/>
      <c r="F60" s="247"/>
      <c r="G60" s="13"/>
      <c r="H60" s="53"/>
    </row>
    <row r="61" spans="1:8" ht="18" customHeight="1" x14ac:dyDescent="0.25">
      <c r="A61" s="1"/>
      <c r="B61" s="2"/>
      <c r="C61" s="223"/>
      <c r="D61" s="224"/>
      <c r="E61" s="224"/>
      <c r="F61" s="247"/>
      <c r="G61" s="13"/>
      <c r="H61" s="53"/>
    </row>
    <row r="62" spans="1:8" ht="18" customHeight="1" thickBot="1" x14ac:dyDescent="0.3">
      <c r="A62" s="4"/>
      <c r="B62" s="5"/>
      <c r="C62" s="396"/>
      <c r="D62" s="251"/>
      <c r="E62" s="251"/>
      <c r="F62" s="252"/>
      <c r="G62" s="37"/>
      <c r="H62" s="54"/>
    </row>
    <row r="63" spans="1:8" ht="18" customHeight="1" x14ac:dyDescent="0.25">
      <c r="A63" s="426" t="s">
        <v>56</v>
      </c>
      <c r="B63" s="427"/>
      <c r="C63" s="221"/>
      <c r="D63" s="221"/>
      <c r="E63" s="221"/>
      <c r="F63" s="221"/>
      <c r="G63" s="221"/>
      <c r="H63" s="222"/>
    </row>
    <row r="64" spans="1:8" ht="18" customHeight="1" x14ac:dyDescent="0.25">
      <c r="A64" s="41" t="s">
        <v>130</v>
      </c>
      <c r="B64" s="42" t="s">
        <v>60</v>
      </c>
      <c r="C64" s="379" t="s">
        <v>92</v>
      </c>
      <c r="D64" s="381"/>
      <c r="E64" s="381"/>
      <c r="F64" s="380"/>
      <c r="G64" s="42" t="s">
        <v>57</v>
      </c>
      <c r="H64" s="43" t="s">
        <v>131</v>
      </c>
    </row>
    <row r="65" spans="1:8" ht="18" customHeight="1" x14ac:dyDescent="0.25">
      <c r="A65" s="1"/>
      <c r="B65" s="2"/>
      <c r="C65" s="223"/>
      <c r="D65" s="224"/>
      <c r="E65" s="224"/>
      <c r="F65" s="247"/>
      <c r="G65" s="13"/>
      <c r="H65" s="53"/>
    </row>
    <row r="66" spans="1:8" ht="18" customHeight="1" x14ac:dyDescent="0.25">
      <c r="A66" s="1"/>
      <c r="B66" s="2"/>
      <c r="C66" s="223"/>
      <c r="D66" s="224"/>
      <c r="E66" s="224"/>
      <c r="F66" s="247"/>
      <c r="G66" s="13"/>
      <c r="H66" s="53"/>
    </row>
    <row r="67" spans="1:8" ht="18" customHeight="1" x14ac:dyDescent="0.25">
      <c r="A67" s="1"/>
      <c r="B67" s="2"/>
      <c r="C67" s="223"/>
      <c r="D67" s="224"/>
      <c r="E67" s="224"/>
      <c r="F67" s="247"/>
      <c r="G67" s="13"/>
      <c r="H67" s="53"/>
    </row>
    <row r="68" spans="1:8" ht="18" customHeight="1" x14ac:dyDescent="0.25">
      <c r="A68" s="1"/>
      <c r="B68" s="2"/>
      <c r="C68" s="223"/>
      <c r="D68" s="224"/>
      <c r="E68" s="224"/>
      <c r="F68" s="247"/>
      <c r="G68" s="13"/>
      <c r="H68" s="53"/>
    </row>
    <row r="69" spans="1:8" ht="18" customHeight="1" thickBot="1" x14ac:dyDescent="0.3">
      <c r="A69" s="4"/>
      <c r="B69" s="5"/>
      <c r="C69" s="396"/>
      <c r="D69" s="251"/>
      <c r="E69" s="251"/>
      <c r="F69" s="252"/>
      <c r="G69" s="37"/>
      <c r="H69" s="54"/>
    </row>
    <row r="70" spans="1:8" ht="18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8" customHeight="1" thickBot="1" x14ac:dyDescent="0.3">
      <c r="A71" s="22"/>
      <c r="B71" s="22"/>
      <c r="C71" s="22"/>
      <c r="D71" s="22"/>
      <c r="E71" s="22"/>
      <c r="F71" s="22"/>
      <c r="G71" s="22"/>
      <c r="H71" s="22"/>
    </row>
    <row r="72" spans="1:8" ht="30" customHeight="1" x14ac:dyDescent="0.25">
      <c r="A72" s="208" t="s">
        <v>59</v>
      </c>
      <c r="B72" s="209"/>
      <c r="C72" s="209"/>
      <c r="D72" s="209"/>
      <c r="E72" s="209"/>
      <c r="F72" s="209"/>
      <c r="G72" s="209"/>
      <c r="H72" s="210"/>
    </row>
    <row r="73" spans="1:8" ht="18" customHeight="1" x14ac:dyDescent="0.25">
      <c r="A73" s="228" t="s">
        <v>52</v>
      </c>
      <c r="B73" s="229"/>
      <c r="C73" s="229"/>
      <c r="D73" s="229"/>
      <c r="E73" s="229"/>
      <c r="F73" s="229"/>
      <c r="G73" s="229"/>
      <c r="H73" s="230"/>
    </row>
    <row r="74" spans="1:8" ht="27" customHeight="1" x14ac:dyDescent="0.25">
      <c r="A74" s="226" t="s">
        <v>136</v>
      </c>
      <c r="B74" s="227"/>
      <c r="C74" s="42" t="s">
        <v>61</v>
      </c>
      <c r="D74" s="42" t="s">
        <v>62</v>
      </c>
      <c r="E74" s="42" t="s">
        <v>63</v>
      </c>
      <c r="F74" s="42" t="s">
        <v>64</v>
      </c>
      <c r="G74" s="42" t="s">
        <v>65</v>
      </c>
      <c r="H74" s="44" t="s">
        <v>134</v>
      </c>
    </row>
    <row r="75" spans="1:8" ht="18" customHeight="1" x14ac:dyDescent="0.25">
      <c r="A75" s="220" t="s">
        <v>66</v>
      </c>
      <c r="B75" s="221"/>
      <c r="C75" s="2" t="s">
        <v>67</v>
      </c>
      <c r="D75" s="8">
        <v>0</v>
      </c>
      <c r="E75" s="19" t="e">
        <f>D75/D88</f>
        <v>#DIV/0!</v>
      </c>
      <c r="F75" s="18">
        <v>0</v>
      </c>
      <c r="G75" s="19" t="e">
        <f>F75/F88</f>
        <v>#DIV/0!</v>
      </c>
      <c r="H75" s="35">
        <v>0</v>
      </c>
    </row>
    <row r="76" spans="1:8" ht="18" customHeight="1" x14ac:dyDescent="0.25">
      <c r="A76" s="220" t="s">
        <v>68</v>
      </c>
      <c r="B76" s="221"/>
      <c r="C76" s="2" t="s">
        <v>67</v>
      </c>
      <c r="D76" s="8">
        <v>0</v>
      </c>
      <c r="E76" s="19" t="e">
        <f>D76/D88</f>
        <v>#DIV/0!</v>
      </c>
      <c r="F76" s="18">
        <v>0</v>
      </c>
      <c r="G76" s="19" t="e">
        <f>F76/F88</f>
        <v>#DIV/0!</v>
      </c>
      <c r="H76" s="35">
        <v>0</v>
      </c>
    </row>
    <row r="77" spans="1:8" ht="18" customHeight="1" x14ac:dyDescent="0.25">
      <c r="A77" s="220" t="s">
        <v>69</v>
      </c>
      <c r="B77" s="221"/>
      <c r="C77" s="2" t="s">
        <v>67</v>
      </c>
      <c r="D77" s="8">
        <v>0</v>
      </c>
      <c r="E77" s="19" t="e">
        <f>D77/D88</f>
        <v>#DIV/0!</v>
      </c>
      <c r="F77" s="18">
        <v>0</v>
      </c>
      <c r="G77" s="19" t="e">
        <f>F77/F88</f>
        <v>#DIV/0!</v>
      </c>
      <c r="H77" s="35">
        <v>0</v>
      </c>
    </row>
    <row r="78" spans="1:8" ht="18" customHeight="1" x14ac:dyDescent="0.25">
      <c r="A78" s="220" t="s">
        <v>70</v>
      </c>
      <c r="B78" s="221"/>
      <c r="C78" s="2" t="s">
        <v>67</v>
      </c>
      <c r="D78" s="8">
        <v>0</v>
      </c>
      <c r="E78" s="19" t="e">
        <f>D78/D88</f>
        <v>#DIV/0!</v>
      </c>
      <c r="F78" s="18">
        <v>0</v>
      </c>
      <c r="G78" s="19" t="e">
        <f>F78/F88</f>
        <v>#DIV/0!</v>
      </c>
      <c r="H78" s="35">
        <v>0</v>
      </c>
    </row>
    <row r="79" spans="1:8" ht="18" customHeight="1" x14ac:dyDescent="0.25">
      <c r="A79" s="220" t="s">
        <v>71</v>
      </c>
      <c r="B79" s="221"/>
      <c r="C79" s="2" t="s">
        <v>67</v>
      </c>
      <c r="D79" s="8">
        <v>0</v>
      </c>
      <c r="E79" s="19" t="e">
        <f>D79/D88</f>
        <v>#DIV/0!</v>
      </c>
      <c r="F79" s="18">
        <v>0</v>
      </c>
      <c r="G79" s="19" t="e">
        <f>F79/F88</f>
        <v>#DIV/0!</v>
      </c>
      <c r="H79" s="35">
        <v>0</v>
      </c>
    </row>
    <row r="80" spans="1:8" ht="18" customHeight="1" x14ac:dyDescent="0.25">
      <c r="A80" s="246" t="s">
        <v>72</v>
      </c>
      <c r="B80" s="247"/>
      <c r="C80" s="2" t="s">
        <v>67</v>
      </c>
      <c r="D80" s="8">
        <v>0</v>
      </c>
      <c r="E80" s="19" t="e">
        <f>D80/D88</f>
        <v>#DIV/0!</v>
      </c>
      <c r="F80" s="18">
        <v>0</v>
      </c>
      <c r="G80" s="19" t="e">
        <f>F80/F88</f>
        <v>#DIV/0!</v>
      </c>
      <c r="H80" s="35">
        <v>0</v>
      </c>
    </row>
    <row r="81" spans="1:8" ht="18" customHeight="1" x14ac:dyDescent="0.25">
      <c r="A81" s="220" t="s">
        <v>73</v>
      </c>
      <c r="B81" s="221"/>
      <c r="C81" s="2" t="s">
        <v>67</v>
      </c>
      <c r="D81" s="8">
        <v>0</v>
      </c>
      <c r="E81" s="19" t="e">
        <f>D81/D88</f>
        <v>#DIV/0!</v>
      </c>
      <c r="F81" s="18">
        <v>0</v>
      </c>
      <c r="G81" s="19" t="e">
        <f>F81/F88</f>
        <v>#DIV/0!</v>
      </c>
      <c r="H81" s="35">
        <v>0</v>
      </c>
    </row>
    <row r="82" spans="1:8" ht="18" customHeight="1" x14ac:dyDescent="0.25">
      <c r="A82" s="220" t="s">
        <v>74</v>
      </c>
      <c r="B82" s="221"/>
      <c r="C82" s="2" t="s">
        <v>75</v>
      </c>
      <c r="D82" s="8">
        <v>0</v>
      </c>
      <c r="E82" s="19" t="e">
        <f>D82/D88</f>
        <v>#DIV/0!</v>
      </c>
      <c r="F82" s="18">
        <v>0</v>
      </c>
      <c r="G82" s="19" t="e">
        <f>F82/F88</f>
        <v>#DIV/0!</v>
      </c>
      <c r="H82" s="35">
        <v>0</v>
      </c>
    </row>
    <row r="83" spans="1:8" ht="18" customHeight="1" x14ac:dyDescent="0.25">
      <c r="A83" s="220" t="s">
        <v>76</v>
      </c>
      <c r="B83" s="221"/>
      <c r="C83" s="2" t="s">
        <v>75</v>
      </c>
      <c r="D83" s="8">
        <v>0</v>
      </c>
      <c r="E83" s="19" t="e">
        <f>D83/D88</f>
        <v>#DIV/0!</v>
      </c>
      <c r="F83" s="18">
        <v>0</v>
      </c>
      <c r="G83" s="19" t="e">
        <f>F83/F88</f>
        <v>#DIV/0!</v>
      </c>
      <c r="H83" s="35">
        <v>0</v>
      </c>
    </row>
    <row r="84" spans="1:8" ht="18" customHeight="1" x14ac:dyDescent="0.25">
      <c r="A84" s="220" t="s">
        <v>77</v>
      </c>
      <c r="B84" s="221"/>
      <c r="C84" s="2" t="s">
        <v>67</v>
      </c>
      <c r="D84" s="8">
        <v>0</v>
      </c>
      <c r="E84" s="19" t="e">
        <f>D84/D88</f>
        <v>#DIV/0!</v>
      </c>
      <c r="F84" s="18">
        <v>0</v>
      </c>
      <c r="G84" s="19" t="e">
        <f>F84/F88</f>
        <v>#DIV/0!</v>
      </c>
      <c r="H84" s="35">
        <v>0</v>
      </c>
    </row>
    <row r="85" spans="1:8" ht="18" customHeight="1" x14ac:dyDescent="0.25">
      <c r="A85" s="220" t="s">
        <v>78</v>
      </c>
      <c r="B85" s="221"/>
      <c r="C85" s="2" t="s">
        <v>79</v>
      </c>
      <c r="D85" s="8">
        <v>0</v>
      </c>
      <c r="E85" s="19" t="e">
        <f>D85/D88</f>
        <v>#DIV/0!</v>
      </c>
      <c r="F85" s="18">
        <v>0</v>
      </c>
      <c r="G85" s="19" t="e">
        <f>F85/F88</f>
        <v>#DIV/0!</v>
      </c>
      <c r="H85" s="35">
        <v>0</v>
      </c>
    </row>
    <row r="86" spans="1:8" ht="18" customHeight="1" x14ac:dyDescent="0.25">
      <c r="A86" s="220" t="s">
        <v>80</v>
      </c>
      <c r="B86" s="221"/>
      <c r="C86" s="2" t="s">
        <v>81</v>
      </c>
      <c r="D86" s="8">
        <v>0</v>
      </c>
      <c r="E86" s="19" t="e">
        <f>D86/D88</f>
        <v>#DIV/0!</v>
      </c>
      <c r="F86" s="18">
        <v>0</v>
      </c>
      <c r="G86" s="19" t="e">
        <f>F86/F88</f>
        <v>#DIV/0!</v>
      </c>
      <c r="H86" s="35">
        <v>0</v>
      </c>
    </row>
    <row r="87" spans="1:8" ht="18" customHeight="1" x14ac:dyDescent="0.25">
      <c r="A87" s="220" t="s">
        <v>82</v>
      </c>
      <c r="B87" s="221"/>
      <c r="C87" s="2" t="s">
        <v>82</v>
      </c>
      <c r="D87" s="8">
        <v>0</v>
      </c>
      <c r="E87" s="19" t="e">
        <f>D87/D88</f>
        <v>#DIV/0!</v>
      </c>
      <c r="F87" s="18">
        <v>0</v>
      </c>
      <c r="G87" s="19" t="e">
        <f>F87/F88</f>
        <v>#DIV/0!</v>
      </c>
      <c r="H87" s="35">
        <v>0</v>
      </c>
    </row>
    <row r="88" spans="1:8" ht="18" customHeight="1" thickBot="1" x14ac:dyDescent="0.3">
      <c r="A88" s="231"/>
      <c r="B88" s="232"/>
      <c r="C88" s="33" t="s">
        <v>83</v>
      </c>
      <c r="D88" s="34">
        <f>SUM(D75:D87)</f>
        <v>0</v>
      </c>
      <c r="E88" s="34"/>
      <c r="F88" s="20">
        <f>SUM(F75:F87)</f>
        <v>0</v>
      </c>
      <c r="G88" s="31"/>
      <c r="H88" s="36">
        <f>SUM(H75:H87)</f>
        <v>0</v>
      </c>
    </row>
    <row r="89" spans="1:8" ht="18" customHeight="1" x14ac:dyDescent="0.25">
      <c r="A89" s="423" t="s">
        <v>53</v>
      </c>
      <c r="B89" s="424"/>
      <c r="C89" s="424"/>
      <c r="D89" s="424"/>
      <c r="E89" s="424"/>
      <c r="F89" s="424"/>
      <c r="G89" s="424"/>
      <c r="H89" s="425"/>
    </row>
    <row r="90" spans="1:8" ht="26.25" customHeight="1" x14ac:dyDescent="0.25">
      <c r="A90" s="394" t="s">
        <v>20</v>
      </c>
      <c r="B90" s="381"/>
      <c r="C90" s="381"/>
      <c r="D90" s="381"/>
      <c r="E90" s="380"/>
      <c r="F90" s="42" t="s">
        <v>21</v>
      </c>
      <c r="G90" s="42" t="s">
        <v>133</v>
      </c>
      <c r="H90" s="43" t="s">
        <v>84</v>
      </c>
    </row>
    <row r="91" spans="1:8" ht="18" customHeight="1" x14ac:dyDescent="0.25">
      <c r="A91" s="246"/>
      <c r="B91" s="224"/>
      <c r="C91" s="224"/>
      <c r="D91" s="224"/>
      <c r="E91" s="247"/>
      <c r="F91" s="8">
        <v>0</v>
      </c>
      <c r="G91" s="18">
        <v>0</v>
      </c>
      <c r="H91" s="21">
        <f>F91-G91</f>
        <v>0</v>
      </c>
    </row>
    <row r="92" spans="1:8" ht="18" customHeight="1" x14ac:dyDescent="0.25">
      <c r="A92" s="394" t="s">
        <v>85</v>
      </c>
      <c r="B92" s="381"/>
      <c r="C92" s="380"/>
      <c r="D92" s="421" t="s">
        <v>86</v>
      </c>
      <c r="E92" s="422"/>
      <c r="F92" s="45" t="s">
        <v>87</v>
      </c>
      <c r="G92" s="402"/>
      <c r="H92" s="403"/>
    </row>
    <row r="93" spans="1:8" ht="18" customHeight="1" x14ac:dyDescent="0.25">
      <c r="A93" s="246"/>
      <c r="B93" s="224"/>
      <c r="C93" s="247"/>
      <c r="D93" s="373">
        <v>0</v>
      </c>
      <c r="E93" s="374"/>
      <c r="F93" s="38"/>
      <c r="G93" s="404"/>
      <c r="H93" s="405"/>
    </row>
    <row r="94" spans="1:8" ht="18" customHeight="1" x14ac:dyDescent="0.25">
      <c r="A94" s="246"/>
      <c r="B94" s="224"/>
      <c r="C94" s="247"/>
      <c r="D94" s="373">
        <v>0</v>
      </c>
      <c r="E94" s="374"/>
      <c r="F94" s="38"/>
      <c r="G94" s="404"/>
      <c r="H94" s="405"/>
    </row>
    <row r="95" spans="1:8" ht="18" customHeight="1" x14ac:dyDescent="0.25">
      <c r="A95" s="246"/>
      <c r="B95" s="224"/>
      <c r="C95" s="247"/>
      <c r="D95" s="373">
        <v>0</v>
      </c>
      <c r="E95" s="374"/>
      <c r="F95" s="38"/>
      <c r="G95" s="404"/>
      <c r="H95" s="405"/>
    </row>
    <row r="96" spans="1:8" ht="18" customHeight="1" x14ac:dyDescent="0.25">
      <c r="A96" s="246"/>
      <c r="B96" s="224"/>
      <c r="C96" s="247"/>
      <c r="D96" s="373">
        <v>0</v>
      </c>
      <c r="E96" s="374"/>
      <c r="F96" s="38"/>
      <c r="G96" s="404"/>
      <c r="H96" s="405"/>
    </row>
    <row r="97" spans="1:8" ht="18" customHeight="1" thickBot="1" x14ac:dyDescent="0.3">
      <c r="A97" s="250"/>
      <c r="B97" s="251"/>
      <c r="C97" s="252"/>
      <c r="D97" s="413">
        <v>0</v>
      </c>
      <c r="E97" s="414"/>
      <c r="F97" s="39"/>
      <c r="G97" s="406"/>
      <c r="H97" s="407"/>
    </row>
    <row r="98" spans="1:8" ht="26.25" customHeight="1" x14ac:dyDescent="0.25">
      <c r="A98" s="418" t="s">
        <v>20</v>
      </c>
      <c r="B98" s="419"/>
      <c r="C98" s="419"/>
      <c r="D98" s="419"/>
      <c r="E98" s="420"/>
      <c r="F98" s="46" t="s">
        <v>21</v>
      </c>
      <c r="G98" s="46" t="s">
        <v>133</v>
      </c>
      <c r="H98" s="47" t="s">
        <v>84</v>
      </c>
    </row>
    <row r="99" spans="1:8" ht="18" customHeight="1" x14ac:dyDescent="0.25">
      <c r="A99" s="246"/>
      <c r="B99" s="224"/>
      <c r="C99" s="224"/>
      <c r="D99" s="224"/>
      <c r="E99" s="247"/>
      <c r="F99" s="8">
        <v>0</v>
      </c>
      <c r="G99" s="18">
        <v>0</v>
      </c>
      <c r="H99" s="21">
        <f>F99-G99</f>
        <v>0</v>
      </c>
    </row>
    <row r="100" spans="1:8" ht="18" customHeight="1" x14ac:dyDescent="0.25">
      <c r="A100" s="394" t="s">
        <v>85</v>
      </c>
      <c r="B100" s="381"/>
      <c r="C100" s="380"/>
      <c r="D100" s="421" t="s">
        <v>86</v>
      </c>
      <c r="E100" s="422"/>
      <c r="F100" s="45" t="s">
        <v>87</v>
      </c>
      <c r="G100" s="402"/>
      <c r="H100" s="403"/>
    </row>
    <row r="101" spans="1:8" ht="18" customHeight="1" x14ac:dyDescent="0.25">
      <c r="A101" s="246"/>
      <c r="B101" s="224"/>
      <c r="C101" s="247"/>
      <c r="D101" s="373">
        <v>0</v>
      </c>
      <c r="E101" s="374"/>
      <c r="F101" s="38"/>
      <c r="G101" s="404"/>
      <c r="H101" s="405"/>
    </row>
    <row r="102" spans="1:8" ht="18" customHeight="1" x14ac:dyDescent="0.25">
      <c r="A102" s="246"/>
      <c r="B102" s="224"/>
      <c r="C102" s="247"/>
      <c r="D102" s="373">
        <v>0</v>
      </c>
      <c r="E102" s="374"/>
      <c r="F102" s="38"/>
      <c r="G102" s="404"/>
      <c r="H102" s="405"/>
    </row>
    <row r="103" spans="1:8" ht="18" customHeight="1" x14ac:dyDescent="0.25">
      <c r="A103" s="246"/>
      <c r="B103" s="224"/>
      <c r="C103" s="247"/>
      <c r="D103" s="373">
        <v>0</v>
      </c>
      <c r="E103" s="374"/>
      <c r="F103" s="38"/>
      <c r="G103" s="404"/>
      <c r="H103" s="405"/>
    </row>
    <row r="104" spans="1:8" ht="18" customHeight="1" x14ac:dyDescent="0.25">
      <c r="A104" s="246"/>
      <c r="B104" s="224"/>
      <c r="C104" s="247"/>
      <c r="D104" s="373">
        <v>0</v>
      </c>
      <c r="E104" s="374"/>
      <c r="F104" s="38"/>
      <c r="G104" s="404"/>
      <c r="H104" s="405"/>
    </row>
    <row r="105" spans="1:8" ht="18" customHeight="1" thickBot="1" x14ac:dyDescent="0.3">
      <c r="A105" s="250"/>
      <c r="B105" s="251"/>
      <c r="C105" s="252"/>
      <c r="D105" s="413">
        <v>0</v>
      </c>
      <c r="E105" s="414"/>
      <c r="F105" s="39"/>
      <c r="G105" s="406"/>
      <c r="H105" s="407"/>
    </row>
    <row r="106" spans="1:8" ht="18" customHeight="1" x14ac:dyDescent="0.25">
      <c r="A106" s="382" t="s">
        <v>53</v>
      </c>
      <c r="B106" s="383"/>
      <c r="C106" s="383"/>
      <c r="D106" s="383"/>
      <c r="E106" s="383"/>
      <c r="F106" s="383"/>
      <c r="G106" s="383"/>
      <c r="H106" s="384"/>
    </row>
    <row r="107" spans="1:8" ht="26.25" customHeight="1" x14ac:dyDescent="0.25">
      <c r="A107" s="394" t="s">
        <v>20</v>
      </c>
      <c r="B107" s="381"/>
      <c r="C107" s="381"/>
      <c r="D107" s="381"/>
      <c r="E107" s="380"/>
      <c r="F107" s="42" t="s">
        <v>21</v>
      </c>
      <c r="G107" s="42" t="s">
        <v>133</v>
      </c>
      <c r="H107" s="43" t="s">
        <v>84</v>
      </c>
    </row>
    <row r="108" spans="1:8" ht="18" customHeight="1" x14ac:dyDescent="0.25">
      <c r="A108" s="246"/>
      <c r="B108" s="224"/>
      <c r="C108" s="224"/>
      <c r="D108" s="224"/>
      <c r="E108" s="247"/>
      <c r="F108" s="8">
        <v>0</v>
      </c>
      <c r="G108" s="18">
        <v>0</v>
      </c>
      <c r="H108" s="21">
        <f>F108-G108</f>
        <v>0</v>
      </c>
    </row>
    <row r="109" spans="1:8" ht="18" customHeight="1" x14ac:dyDescent="0.25">
      <c r="A109" s="394" t="s">
        <v>85</v>
      </c>
      <c r="B109" s="381"/>
      <c r="C109" s="380"/>
      <c r="D109" s="421" t="s">
        <v>86</v>
      </c>
      <c r="E109" s="422"/>
      <c r="F109" s="45" t="s">
        <v>87</v>
      </c>
      <c r="G109" s="402"/>
      <c r="H109" s="403"/>
    </row>
    <row r="110" spans="1:8" ht="18" customHeight="1" x14ac:dyDescent="0.25">
      <c r="A110" s="246"/>
      <c r="B110" s="224"/>
      <c r="C110" s="247"/>
      <c r="D110" s="373">
        <v>0</v>
      </c>
      <c r="E110" s="374"/>
      <c r="F110" s="38"/>
      <c r="G110" s="404"/>
      <c r="H110" s="405"/>
    </row>
    <row r="111" spans="1:8" ht="18" customHeight="1" x14ac:dyDescent="0.25">
      <c r="A111" s="246"/>
      <c r="B111" s="224"/>
      <c r="C111" s="247"/>
      <c r="D111" s="373">
        <v>0</v>
      </c>
      <c r="E111" s="374"/>
      <c r="F111" s="38"/>
      <c r="G111" s="404"/>
      <c r="H111" s="405"/>
    </row>
    <row r="112" spans="1:8" ht="18" customHeight="1" x14ac:dyDescent="0.25">
      <c r="A112" s="246"/>
      <c r="B112" s="224"/>
      <c r="C112" s="247"/>
      <c r="D112" s="373">
        <v>0</v>
      </c>
      <c r="E112" s="374"/>
      <c r="F112" s="38"/>
      <c r="G112" s="404"/>
      <c r="H112" s="405"/>
    </row>
    <row r="113" spans="1:8" ht="18" customHeight="1" x14ac:dyDescent="0.25">
      <c r="A113" s="246"/>
      <c r="B113" s="224"/>
      <c r="C113" s="247"/>
      <c r="D113" s="373">
        <v>0</v>
      </c>
      <c r="E113" s="374"/>
      <c r="F113" s="38"/>
      <c r="G113" s="404"/>
      <c r="H113" s="405"/>
    </row>
    <row r="114" spans="1:8" ht="18" customHeight="1" thickBot="1" x14ac:dyDescent="0.3">
      <c r="A114" s="250"/>
      <c r="B114" s="251"/>
      <c r="C114" s="252"/>
      <c r="D114" s="413">
        <v>0</v>
      </c>
      <c r="E114" s="414"/>
      <c r="F114" s="39"/>
      <c r="G114" s="406"/>
      <c r="H114" s="407"/>
    </row>
    <row r="115" spans="1:8" ht="26.25" customHeight="1" x14ac:dyDescent="0.25">
      <c r="A115" s="418" t="s">
        <v>20</v>
      </c>
      <c r="B115" s="419"/>
      <c r="C115" s="419"/>
      <c r="D115" s="419"/>
      <c r="E115" s="420"/>
      <c r="F115" s="46" t="s">
        <v>21</v>
      </c>
      <c r="G115" s="46" t="s">
        <v>133</v>
      </c>
      <c r="H115" s="47" t="s">
        <v>84</v>
      </c>
    </row>
    <row r="116" spans="1:8" ht="18" customHeight="1" x14ac:dyDescent="0.25">
      <c r="A116" s="246"/>
      <c r="B116" s="224"/>
      <c r="C116" s="224"/>
      <c r="D116" s="224"/>
      <c r="E116" s="247"/>
      <c r="F116" s="8">
        <v>0</v>
      </c>
      <c r="G116" s="18">
        <v>0</v>
      </c>
      <c r="H116" s="21">
        <f>F116-G116</f>
        <v>0</v>
      </c>
    </row>
    <row r="117" spans="1:8" ht="18" customHeight="1" x14ac:dyDescent="0.25">
      <c r="A117" s="394" t="s">
        <v>85</v>
      </c>
      <c r="B117" s="381"/>
      <c r="C117" s="380"/>
      <c r="D117" s="421" t="s">
        <v>86</v>
      </c>
      <c r="E117" s="422"/>
      <c r="F117" s="45" t="s">
        <v>87</v>
      </c>
      <c r="G117" s="402"/>
      <c r="H117" s="403"/>
    </row>
    <row r="118" spans="1:8" ht="18" customHeight="1" x14ac:dyDescent="0.25">
      <c r="A118" s="246"/>
      <c r="B118" s="224"/>
      <c r="C118" s="247"/>
      <c r="D118" s="373">
        <v>0</v>
      </c>
      <c r="E118" s="374"/>
      <c r="F118" s="38"/>
      <c r="G118" s="404"/>
      <c r="H118" s="405"/>
    </row>
    <row r="119" spans="1:8" ht="18" customHeight="1" x14ac:dyDescent="0.25">
      <c r="A119" s="246"/>
      <c r="B119" s="224"/>
      <c r="C119" s="247"/>
      <c r="D119" s="373">
        <v>0</v>
      </c>
      <c r="E119" s="374"/>
      <c r="F119" s="38"/>
      <c r="G119" s="404"/>
      <c r="H119" s="405"/>
    </row>
    <row r="120" spans="1:8" ht="18" customHeight="1" x14ac:dyDescent="0.25">
      <c r="A120" s="246"/>
      <c r="B120" s="224"/>
      <c r="C120" s="247"/>
      <c r="D120" s="373">
        <v>0</v>
      </c>
      <c r="E120" s="374"/>
      <c r="F120" s="38"/>
      <c r="G120" s="404"/>
      <c r="H120" s="405"/>
    </row>
    <row r="121" spans="1:8" ht="18" customHeight="1" x14ac:dyDescent="0.25">
      <c r="A121" s="246"/>
      <c r="B121" s="224"/>
      <c r="C121" s="247"/>
      <c r="D121" s="373">
        <v>0</v>
      </c>
      <c r="E121" s="374"/>
      <c r="F121" s="38"/>
      <c r="G121" s="404"/>
      <c r="H121" s="405"/>
    </row>
    <row r="122" spans="1:8" ht="18" customHeight="1" thickBot="1" x14ac:dyDescent="0.3">
      <c r="A122" s="250"/>
      <c r="B122" s="251"/>
      <c r="C122" s="252"/>
      <c r="D122" s="413">
        <v>0</v>
      </c>
      <c r="E122" s="414"/>
      <c r="F122" s="39"/>
      <c r="G122" s="406"/>
      <c r="H122" s="407"/>
    </row>
    <row r="123" spans="1:8" ht="27" customHeight="1" x14ac:dyDescent="0.25">
      <c r="A123" s="418" t="s">
        <v>20</v>
      </c>
      <c r="B123" s="419"/>
      <c r="C123" s="419"/>
      <c r="D123" s="419"/>
      <c r="E123" s="420"/>
      <c r="F123" s="46" t="s">
        <v>21</v>
      </c>
      <c r="G123" s="46" t="s">
        <v>133</v>
      </c>
      <c r="H123" s="47" t="s">
        <v>84</v>
      </c>
    </row>
    <row r="124" spans="1:8" ht="18" customHeight="1" x14ac:dyDescent="0.25">
      <c r="A124" s="246"/>
      <c r="B124" s="224"/>
      <c r="C124" s="224"/>
      <c r="D124" s="224"/>
      <c r="E124" s="247"/>
      <c r="F124" s="8">
        <v>0</v>
      </c>
      <c r="G124" s="18">
        <v>0</v>
      </c>
      <c r="H124" s="21">
        <f>F124-G124</f>
        <v>0</v>
      </c>
    </row>
    <row r="125" spans="1:8" ht="18" customHeight="1" x14ac:dyDescent="0.25">
      <c r="A125" s="394" t="s">
        <v>85</v>
      </c>
      <c r="B125" s="381"/>
      <c r="C125" s="380"/>
      <c r="D125" s="421" t="s">
        <v>86</v>
      </c>
      <c r="E125" s="422"/>
      <c r="F125" s="45" t="s">
        <v>87</v>
      </c>
      <c r="G125" s="402"/>
      <c r="H125" s="403"/>
    </row>
    <row r="126" spans="1:8" ht="18" customHeight="1" x14ac:dyDescent="0.25">
      <c r="A126" s="246"/>
      <c r="B126" s="224"/>
      <c r="C126" s="247"/>
      <c r="D126" s="373">
        <v>0</v>
      </c>
      <c r="E126" s="374"/>
      <c r="F126" s="38"/>
      <c r="G126" s="404"/>
      <c r="H126" s="405"/>
    </row>
    <row r="127" spans="1:8" ht="18" customHeight="1" x14ac:dyDescent="0.25">
      <c r="A127" s="246"/>
      <c r="B127" s="224"/>
      <c r="C127" s="247"/>
      <c r="D127" s="373">
        <v>0</v>
      </c>
      <c r="E127" s="374"/>
      <c r="F127" s="38"/>
      <c r="G127" s="404"/>
      <c r="H127" s="405"/>
    </row>
    <row r="128" spans="1:8" ht="18" customHeight="1" x14ac:dyDescent="0.25">
      <c r="A128" s="246"/>
      <c r="B128" s="224"/>
      <c r="C128" s="247"/>
      <c r="D128" s="373">
        <v>0</v>
      </c>
      <c r="E128" s="374"/>
      <c r="F128" s="38"/>
      <c r="G128" s="404"/>
      <c r="H128" s="405"/>
    </row>
    <row r="129" spans="1:8" ht="18" customHeight="1" x14ac:dyDescent="0.25">
      <c r="A129" s="246"/>
      <c r="B129" s="224"/>
      <c r="C129" s="247"/>
      <c r="D129" s="373">
        <v>0</v>
      </c>
      <c r="E129" s="374"/>
      <c r="F129" s="38"/>
      <c r="G129" s="404"/>
      <c r="H129" s="405"/>
    </row>
    <row r="130" spans="1:8" ht="18" customHeight="1" thickBot="1" x14ac:dyDescent="0.3">
      <c r="A130" s="250"/>
      <c r="B130" s="251"/>
      <c r="C130" s="252"/>
      <c r="D130" s="413">
        <v>0</v>
      </c>
      <c r="E130" s="414"/>
      <c r="F130" s="39"/>
      <c r="G130" s="406"/>
      <c r="H130" s="407"/>
    </row>
    <row r="131" spans="1:8" ht="27" customHeight="1" x14ac:dyDescent="0.25">
      <c r="A131" s="418" t="s">
        <v>20</v>
      </c>
      <c r="B131" s="419"/>
      <c r="C131" s="419"/>
      <c r="D131" s="419"/>
      <c r="E131" s="420"/>
      <c r="F131" s="46" t="s">
        <v>21</v>
      </c>
      <c r="G131" s="46" t="s">
        <v>133</v>
      </c>
      <c r="H131" s="47" t="s">
        <v>84</v>
      </c>
    </row>
    <row r="132" spans="1:8" ht="18" customHeight="1" x14ac:dyDescent="0.25">
      <c r="A132" s="246"/>
      <c r="B132" s="224"/>
      <c r="C132" s="224"/>
      <c r="D132" s="224"/>
      <c r="E132" s="247"/>
      <c r="F132" s="8">
        <v>0</v>
      </c>
      <c r="G132" s="18">
        <v>0</v>
      </c>
      <c r="H132" s="21">
        <f>F132-G132</f>
        <v>0</v>
      </c>
    </row>
    <row r="133" spans="1:8" ht="18" customHeight="1" x14ac:dyDescent="0.25">
      <c r="A133" s="394" t="s">
        <v>85</v>
      </c>
      <c r="B133" s="381"/>
      <c r="C133" s="380"/>
      <c r="D133" s="421" t="s">
        <v>86</v>
      </c>
      <c r="E133" s="422"/>
      <c r="F133" s="45" t="s">
        <v>87</v>
      </c>
      <c r="G133" s="402"/>
      <c r="H133" s="403"/>
    </row>
    <row r="134" spans="1:8" ht="18" customHeight="1" x14ac:dyDescent="0.25">
      <c r="A134" s="246"/>
      <c r="B134" s="224"/>
      <c r="C134" s="247"/>
      <c r="D134" s="373">
        <v>0</v>
      </c>
      <c r="E134" s="374"/>
      <c r="F134" s="38"/>
      <c r="G134" s="404"/>
      <c r="H134" s="405"/>
    </row>
    <row r="135" spans="1:8" ht="18" customHeight="1" x14ac:dyDescent="0.25">
      <c r="A135" s="246"/>
      <c r="B135" s="224"/>
      <c r="C135" s="247"/>
      <c r="D135" s="373">
        <v>0</v>
      </c>
      <c r="E135" s="374"/>
      <c r="F135" s="38"/>
      <c r="G135" s="404"/>
      <c r="H135" s="405"/>
    </row>
    <row r="136" spans="1:8" ht="18" customHeight="1" x14ac:dyDescent="0.25">
      <c r="A136" s="246"/>
      <c r="B136" s="224"/>
      <c r="C136" s="247"/>
      <c r="D136" s="373">
        <v>0</v>
      </c>
      <c r="E136" s="374"/>
      <c r="F136" s="38"/>
      <c r="G136" s="404"/>
      <c r="H136" s="405"/>
    </row>
    <row r="137" spans="1:8" ht="18" customHeight="1" x14ac:dyDescent="0.25">
      <c r="A137" s="246"/>
      <c r="B137" s="224"/>
      <c r="C137" s="247"/>
      <c r="D137" s="373">
        <v>0</v>
      </c>
      <c r="E137" s="374"/>
      <c r="F137" s="38"/>
      <c r="G137" s="404"/>
      <c r="H137" s="405"/>
    </row>
    <row r="138" spans="1:8" ht="18" customHeight="1" thickBot="1" x14ac:dyDescent="0.3">
      <c r="A138" s="250"/>
      <c r="B138" s="251"/>
      <c r="C138" s="252"/>
      <c r="D138" s="413">
        <v>0</v>
      </c>
      <c r="E138" s="414"/>
      <c r="F138" s="39"/>
      <c r="G138" s="406"/>
      <c r="H138" s="407"/>
    </row>
    <row r="139" spans="1:8" ht="18" customHeight="1" x14ac:dyDescent="0.25">
      <c r="A139" s="22"/>
      <c r="B139" s="22"/>
      <c r="C139" s="22"/>
      <c r="D139" s="23"/>
      <c r="E139" s="23"/>
      <c r="F139" s="24"/>
      <c r="G139" s="25"/>
      <c r="H139" s="25"/>
    </row>
    <row r="140" spans="1:8" ht="18" customHeight="1" thickBot="1" x14ac:dyDescent="0.3">
      <c r="A140" s="22"/>
      <c r="B140" s="22"/>
      <c r="C140" s="22"/>
      <c r="D140" s="22"/>
      <c r="E140" s="22"/>
      <c r="F140" s="22"/>
      <c r="G140" s="22"/>
      <c r="H140" s="22"/>
    </row>
    <row r="141" spans="1:8" ht="30" customHeight="1" thickBot="1" x14ac:dyDescent="0.3">
      <c r="A141" s="415" t="s">
        <v>88</v>
      </c>
      <c r="B141" s="416"/>
      <c r="C141" s="416"/>
      <c r="D141" s="416"/>
      <c r="E141" s="416"/>
      <c r="F141" s="416"/>
      <c r="G141" s="416"/>
      <c r="H141" s="417"/>
    </row>
    <row r="142" spans="1:8" ht="18" customHeight="1" x14ac:dyDescent="0.25">
      <c r="A142" s="273" t="s">
        <v>66</v>
      </c>
      <c r="B142" s="274"/>
      <c r="C142" s="274"/>
      <c r="D142" s="274"/>
      <c r="E142" s="274"/>
      <c r="F142" s="274"/>
      <c r="G142" s="274"/>
      <c r="H142" s="275"/>
    </row>
    <row r="143" spans="1:8" ht="18" customHeight="1" x14ac:dyDescent="0.25">
      <c r="A143" s="370" t="s">
        <v>502</v>
      </c>
      <c r="B143" s="371"/>
      <c r="C143" s="128">
        <v>0</v>
      </c>
      <c r="D143" s="372" t="s">
        <v>503</v>
      </c>
      <c r="E143" s="371"/>
      <c r="F143" s="130">
        <v>0</v>
      </c>
      <c r="G143" s="129" t="s">
        <v>504</v>
      </c>
      <c r="H143" s="131">
        <v>0</v>
      </c>
    </row>
    <row r="144" spans="1:8" ht="18" customHeight="1" x14ac:dyDescent="0.25">
      <c r="A144" s="370" t="s">
        <v>505</v>
      </c>
      <c r="B144" s="371"/>
      <c r="C144" s="128">
        <v>0</v>
      </c>
      <c r="D144" s="372" t="s">
        <v>506</v>
      </c>
      <c r="E144" s="371"/>
      <c r="F144" s="130">
        <v>0</v>
      </c>
      <c r="G144" s="129" t="s">
        <v>507</v>
      </c>
      <c r="H144" s="131">
        <v>0</v>
      </c>
    </row>
    <row r="145" spans="1:8" ht="18" customHeight="1" x14ac:dyDescent="0.25">
      <c r="A145" s="41" t="s">
        <v>130</v>
      </c>
      <c r="B145" s="42" t="s">
        <v>60</v>
      </c>
      <c r="C145" s="379" t="s">
        <v>92</v>
      </c>
      <c r="D145" s="381"/>
      <c r="E145" s="381"/>
      <c r="F145" s="380"/>
      <c r="G145" s="42" t="s">
        <v>57</v>
      </c>
      <c r="H145" s="43" t="s">
        <v>131</v>
      </c>
    </row>
    <row r="146" spans="1:8" ht="18" customHeight="1" x14ac:dyDescent="0.25">
      <c r="A146" s="1"/>
      <c r="B146" s="2"/>
      <c r="C146" s="223"/>
      <c r="D146" s="224"/>
      <c r="E146" s="224"/>
      <c r="F146" s="247"/>
      <c r="G146" s="13"/>
      <c r="H146" s="53"/>
    </row>
    <row r="147" spans="1:8" ht="18" customHeight="1" x14ac:dyDescent="0.25">
      <c r="A147" s="1"/>
      <c r="B147" s="2"/>
      <c r="C147" s="223"/>
      <c r="D147" s="224"/>
      <c r="E147" s="224"/>
      <c r="F147" s="247"/>
      <c r="G147" s="13"/>
      <c r="H147" s="53"/>
    </row>
    <row r="148" spans="1:8" ht="18" customHeight="1" x14ac:dyDescent="0.25">
      <c r="A148" s="1"/>
      <c r="B148" s="2"/>
      <c r="C148" s="223"/>
      <c r="D148" s="224"/>
      <c r="E148" s="224"/>
      <c r="F148" s="247"/>
      <c r="G148" s="13"/>
      <c r="H148" s="53"/>
    </row>
    <row r="149" spans="1:8" ht="18" customHeight="1" x14ac:dyDescent="0.25">
      <c r="A149" s="1"/>
      <c r="B149" s="2"/>
      <c r="C149" s="223"/>
      <c r="D149" s="224"/>
      <c r="E149" s="224"/>
      <c r="F149" s="247"/>
      <c r="G149" s="13"/>
      <c r="H149" s="53"/>
    </row>
    <row r="150" spans="1:8" ht="18" customHeight="1" thickBot="1" x14ac:dyDescent="0.3">
      <c r="A150" s="1"/>
      <c r="B150" s="2"/>
      <c r="C150" s="223"/>
      <c r="D150" s="224"/>
      <c r="E150" s="224"/>
      <c r="F150" s="247"/>
      <c r="G150" s="13"/>
      <c r="H150" s="53"/>
    </row>
    <row r="151" spans="1:8" ht="18" customHeight="1" x14ac:dyDescent="0.25">
      <c r="A151" s="408" t="s">
        <v>68</v>
      </c>
      <c r="B151" s="409"/>
      <c r="C151" s="409"/>
      <c r="D151" s="409"/>
      <c r="E151" s="409"/>
      <c r="F151" s="409"/>
      <c r="G151" s="409"/>
      <c r="H151" s="410"/>
    </row>
    <row r="152" spans="1:8" ht="18" customHeight="1" x14ac:dyDescent="0.25">
      <c r="A152" s="411" t="s">
        <v>89</v>
      </c>
      <c r="B152" s="412"/>
      <c r="C152" s="2"/>
      <c r="D152" s="412" t="s">
        <v>90</v>
      </c>
      <c r="E152" s="412"/>
      <c r="F152" s="2"/>
      <c r="G152" s="48" t="s">
        <v>91</v>
      </c>
      <c r="H152" s="3"/>
    </row>
    <row r="153" spans="1:8" ht="18" customHeight="1" x14ac:dyDescent="0.25">
      <c r="A153" s="41" t="s">
        <v>130</v>
      </c>
      <c r="B153" s="42" t="s">
        <v>60</v>
      </c>
      <c r="C153" s="379" t="s">
        <v>92</v>
      </c>
      <c r="D153" s="381"/>
      <c r="E153" s="381"/>
      <c r="F153" s="380"/>
      <c r="G153" s="42" t="s">
        <v>57</v>
      </c>
      <c r="H153" s="43" t="s">
        <v>131</v>
      </c>
    </row>
    <row r="154" spans="1:8" ht="18" customHeight="1" x14ac:dyDescent="0.25">
      <c r="A154" s="1"/>
      <c r="B154" s="2"/>
      <c r="C154" s="223"/>
      <c r="D154" s="224"/>
      <c r="E154" s="224"/>
      <c r="F154" s="247"/>
      <c r="G154" s="13"/>
      <c r="H154" s="53"/>
    </row>
    <row r="155" spans="1:8" ht="18" customHeight="1" x14ac:dyDescent="0.25">
      <c r="A155" s="1"/>
      <c r="B155" s="2"/>
      <c r="C155" s="223"/>
      <c r="D155" s="224"/>
      <c r="E155" s="224"/>
      <c r="F155" s="247"/>
      <c r="G155" s="13"/>
      <c r="H155" s="53"/>
    </row>
    <row r="156" spans="1:8" ht="18" customHeight="1" x14ac:dyDescent="0.25">
      <c r="A156" s="1"/>
      <c r="B156" s="2"/>
      <c r="C156" s="223"/>
      <c r="D156" s="224"/>
      <c r="E156" s="224"/>
      <c r="F156" s="247"/>
      <c r="G156" s="13"/>
      <c r="H156" s="53"/>
    </row>
    <row r="157" spans="1:8" ht="18" customHeight="1" thickBot="1" x14ac:dyDescent="0.3">
      <c r="A157" s="1"/>
      <c r="B157" s="2"/>
      <c r="C157" s="223"/>
      <c r="D157" s="224"/>
      <c r="E157" s="224"/>
      <c r="F157" s="247"/>
      <c r="G157" s="13"/>
      <c r="H157" s="53"/>
    </row>
    <row r="158" spans="1:8" ht="18" customHeight="1" x14ac:dyDescent="0.25">
      <c r="A158" s="398" t="s">
        <v>70</v>
      </c>
      <c r="B158" s="399"/>
      <c r="C158" s="399"/>
      <c r="D158" s="399"/>
      <c r="E158" s="399"/>
      <c r="F158" s="399"/>
      <c r="G158" s="399"/>
      <c r="H158" s="400"/>
    </row>
    <row r="159" spans="1:8" ht="18" customHeight="1" x14ac:dyDescent="0.25">
      <c r="A159" s="391" t="s">
        <v>132</v>
      </c>
      <c r="B159" s="392"/>
      <c r="C159" s="26"/>
      <c r="D159" s="393" t="s">
        <v>93</v>
      </c>
      <c r="E159" s="392"/>
      <c r="F159" s="14"/>
      <c r="G159" s="49" t="s">
        <v>91</v>
      </c>
      <c r="H159" s="27"/>
    </row>
    <row r="160" spans="1:8" ht="18" customHeight="1" x14ac:dyDescent="0.25">
      <c r="A160" s="391" t="s">
        <v>94</v>
      </c>
      <c r="B160" s="392"/>
      <c r="C160" s="26"/>
      <c r="D160" s="393" t="s">
        <v>95</v>
      </c>
      <c r="E160" s="392"/>
      <c r="F160" s="14"/>
      <c r="G160" s="375"/>
      <c r="H160" s="397"/>
    </row>
    <row r="161" spans="1:8" ht="18" customHeight="1" x14ac:dyDescent="0.25">
      <c r="A161" s="41" t="s">
        <v>130</v>
      </c>
      <c r="B161" s="42" t="s">
        <v>60</v>
      </c>
      <c r="C161" s="379" t="s">
        <v>92</v>
      </c>
      <c r="D161" s="381"/>
      <c r="E161" s="381"/>
      <c r="F161" s="380"/>
      <c r="G161" s="42" t="s">
        <v>57</v>
      </c>
      <c r="H161" s="43" t="s">
        <v>131</v>
      </c>
    </row>
    <row r="162" spans="1:8" ht="18" customHeight="1" x14ac:dyDescent="0.25">
      <c r="A162" s="1"/>
      <c r="B162" s="2"/>
      <c r="C162" s="223"/>
      <c r="D162" s="224"/>
      <c r="E162" s="224"/>
      <c r="F162" s="247"/>
      <c r="G162" s="13"/>
      <c r="H162" s="53"/>
    </row>
    <row r="163" spans="1:8" ht="18" customHeight="1" x14ac:dyDescent="0.25">
      <c r="A163" s="1"/>
      <c r="B163" s="2"/>
      <c r="C163" s="223"/>
      <c r="D163" s="224"/>
      <c r="E163" s="224"/>
      <c r="F163" s="247"/>
      <c r="G163" s="13"/>
      <c r="H163" s="53"/>
    </row>
    <row r="164" spans="1:8" ht="18" customHeight="1" x14ac:dyDescent="0.25">
      <c r="A164" s="1"/>
      <c r="B164" s="2"/>
      <c r="C164" s="223"/>
      <c r="D164" s="224"/>
      <c r="E164" s="224"/>
      <c r="F164" s="247"/>
      <c r="G164" s="13"/>
      <c r="H164" s="53"/>
    </row>
    <row r="165" spans="1:8" ht="18" customHeight="1" x14ac:dyDescent="0.25">
      <c r="A165" s="1"/>
      <c r="B165" s="2"/>
      <c r="C165" s="223"/>
      <c r="D165" s="224"/>
      <c r="E165" s="224"/>
      <c r="F165" s="247"/>
      <c r="G165" s="13"/>
      <c r="H165" s="53"/>
    </row>
    <row r="166" spans="1:8" ht="18" customHeight="1" x14ac:dyDescent="0.25">
      <c r="A166" s="1"/>
      <c r="B166" s="2"/>
      <c r="C166" s="223"/>
      <c r="D166" s="224"/>
      <c r="E166" s="224"/>
      <c r="F166" s="247"/>
      <c r="G166" s="13"/>
      <c r="H166" s="53"/>
    </row>
    <row r="167" spans="1:8" ht="18" customHeight="1" thickBot="1" x14ac:dyDescent="0.3">
      <c r="A167" s="1"/>
      <c r="B167" s="2"/>
      <c r="C167" s="223"/>
      <c r="D167" s="224"/>
      <c r="E167" s="224"/>
      <c r="F167" s="247"/>
      <c r="G167" s="13"/>
      <c r="H167" s="53"/>
    </row>
    <row r="168" spans="1:8" ht="18" customHeight="1" x14ac:dyDescent="0.25">
      <c r="A168" s="273" t="s">
        <v>96</v>
      </c>
      <c r="B168" s="274"/>
      <c r="C168" s="274"/>
      <c r="D168" s="274"/>
      <c r="E168" s="274"/>
      <c r="F168" s="274"/>
      <c r="G168" s="274"/>
      <c r="H168" s="275"/>
    </row>
    <row r="169" spans="1:8" ht="18" customHeight="1" x14ac:dyDescent="0.25">
      <c r="A169" s="391" t="s">
        <v>97</v>
      </c>
      <c r="B169" s="392"/>
      <c r="C169" s="26"/>
      <c r="D169" s="393" t="s">
        <v>98</v>
      </c>
      <c r="E169" s="392"/>
      <c r="F169" s="26"/>
      <c r="G169" s="50" t="s">
        <v>91</v>
      </c>
      <c r="H169" s="27"/>
    </row>
    <row r="170" spans="1:8" ht="18" customHeight="1" x14ac:dyDescent="0.25">
      <c r="A170" s="391" t="s">
        <v>99</v>
      </c>
      <c r="B170" s="392"/>
      <c r="C170" s="26"/>
      <c r="D170" s="227" t="s">
        <v>41</v>
      </c>
      <c r="E170" s="227"/>
      <c r="F170" s="40"/>
      <c r="G170" s="264"/>
      <c r="H170" s="401"/>
    </row>
    <row r="171" spans="1:8" ht="18" customHeight="1" x14ac:dyDescent="0.25">
      <c r="A171" s="41" t="s">
        <v>130</v>
      </c>
      <c r="B171" s="42" t="s">
        <v>60</v>
      </c>
      <c r="C171" s="379" t="s">
        <v>92</v>
      </c>
      <c r="D171" s="381"/>
      <c r="E171" s="381"/>
      <c r="F171" s="380"/>
      <c r="G171" s="42" t="s">
        <v>57</v>
      </c>
      <c r="H171" s="43" t="s">
        <v>131</v>
      </c>
    </row>
    <row r="172" spans="1:8" ht="18" customHeight="1" x14ac:dyDescent="0.25">
      <c r="A172" s="1"/>
      <c r="B172" s="2"/>
      <c r="C172" s="223"/>
      <c r="D172" s="224"/>
      <c r="E172" s="224"/>
      <c r="F172" s="247"/>
      <c r="G172" s="13"/>
      <c r="H172" s="53"/>
    </row>
    <row r="173" spans="1:8" ht="18" customHeight="1" x14ac:dyDescent="0.25">
      <c r="A173" s="1"/>
      <c r="B173" s="2"/>
      <c r="C173" s="223"/>
      <c r="D173" s="224"/>
      <c r="E173" s="224"/>
      <c r="F173" s="247"/>
      <c r="G173" s="13"/>
      <c r="H173" s="53"/>
    </row>
    <row r="174" spans="1:8" ht="18" customHeight="1" x14ac:dyDescent="0.25">
      <c r="A174" s="1"/>
      <c r="B174" s="2"/>
      <c r="C174" s="223"/>
      <c r="D174" s="224"/>
      <c r="E174" s="224"/>
      <c r="F174" s="247"/>
      <c r="G174" s="13"/>
      <c r="H174" s="53"/>
    </row>
    <row r="175" spans="1:8" ht="18" customHeight="1" x14ac:dyDescent="0.25">
      <c r="A175" s="1"/>
      <c r="B175" s="2"/>
      <c r="C175" s="223"/>
      <c r="D175" s="224"/>
      <c r="E175" s="224"/>
      <c r="F175" s="247"/>
      <c r="G175" s="13"/>
      <c r="H175" s="53"/>
    </row>
    <row r="176" spans="1:8" ht="18" customHeight="1" thickBot="1" x14ac:dyDescent="0.3">
      <c r="A176" s="4"/>
      <c r="B176" s="5"/>
      <c r="C176" s="396"/>
      <c r="D176" s="251"/>
      <c r="E176" s="251"/>
      <c r="F176" s="252"/>
      <c r="G176" s="37"/>
      <c r="H176" s="54"/>
    </row>
    <row r="177" spans="1:8" ht="18" customHeight="1" x14ac:dyDescent="0.25">
      <c r="A177" s="273" t="s">
        <v>73</v>
      </c>
      <c r="B177" s="274"/>
      <c r="C177" s="274"/>
      <c r="D177" s="274"/>
      <c r="E177" s="274"/>
      <c r="F177" s="274"/>
      <c r="G177" s="274"/>
      <c r="H177" s="275"/>
    </row>
    <row r="178" spans="1:8" ht="18" customHeight="1" x14ac:dyDescent="0.25">
      <c r="A178" s="391" t="s">
        <v>100</v>
      </c>
      <c r="B178" s="395"/>
      <c r="C178" s="392"/>
      <c r="D178" s="26"/>
      <c r="E178" s="50" t="s">
        <v>101</v>
      </c>
      <c r="F178" s="26"/>
      <c r="G178" s="50" t="s">
        <v>102</v>
      </c>
      <c r="H178" s="27"/>
    </row>
    <row r="179" spans="1:8" ht="18" customHeight="1" x14ac:dyDescent="0.25">
      <c r="A179" s="41" t="s">
        <v>130</v>
      </c>
      <c r="B179" s="42" t="s">
        <v>60</v>
      </c>
      <c r="C179" s="379" t="s">
        <v>92</v>
      </c>
      <c r="D179" s="381"/>
      <c r="E179" s="381"/>
      <c r="F179" s="380"/>
      <c r="G179" s="42" t="s">
        <v>57</v>
      </c>
      <c r="H179" s="43" t="s">
        <v>131</v>
      </c>
    </row>
    <row r="180" spans="1:8" ht="18" customHeight="1" x14ac:dyDescent="0.25">
      <c r="A180" s="1"/>
      <c r="B180" s="2"/>
      <c r="C180" s="223"/>
      <c r="D180" s="224"/>
      <c r="E180" s="224"/>
      <c r="F180" s="247"/>
      <c r="G180" s="13"/>
      <c r="H180" s="53"/>
    </row>
    <row r="181" spans="1:8" ht="18" customHeight="1" x14ac:dyDescent="0.25">
      <c r="A181" s="1"/>
      <c r="B181" s="2"/>
      <c r="C181" s="223"/>
      <c r="D181" s="224"/>
      <c r="E181" s="224"/>
      <c r="F181" s="247"/>
      <c r="G181" s="13"/>
      <c r="H181" s="53"/>
    </row>
    <row r="182" spans="1:8" ht="18" customHeight="1" x14ac:dyDescent="0.25">
      <c r="A182" s="1"/>
      <c r="B182" s="2"/>
      <c r="C182" s="223"/>
      <c r="D182" s="224"/>
      <c r="E182" s="224"/>
      <c r="F182" s="247"/>
      <c r="G182" s="13"/>
      <c r="H182" s="53"/>
    </row>
    <row r="183" spans="1:8" ht="18" customHeight="1" x14ac:dyDescent="0.25">
      <c r="A183" s="1"/>
      <c r="B183" s="2"/>
      <c r="C183" s="223"/>
      <c r="D183" s="224"/>
      <c r="E183" s="224"/>
      <c r="F183" s="247"/>
      <c r="G183" s="13"/>
      <c r="H183" s="53"/>
    </row>
    <row r="184" spans="1:8" ht="18" customHeight="1" thickBot="1" x14ac:dyDescent="0.3">
      <c r="A184" s="1"/>
      <c r="B184" s="2"/>
      <c r="C184" s="223"/>
      <c r="D184" s="224"/>
      <c r="E184" s="224"/>
      <c r="F184" s="247"/>
      <c r="G184" s="13"/>
      <c r="H184" s="53"/>
    </row>
    <row r="185" spans="1:8" ht="18" customHeight="1" x14ac:dyDescent="0.25">
      <c r="A185" s="273" t="s">
        <v>103</v>
      </c>
      <c r="B185" s="274"/>
      <c r="C185" s="274"/>
      <c r="D185" s="274"/>
      <c r="E185" s="274"/>
      <c r="F185" s="274"/>
      <c r="G185" s="274"/>
      <c r="H185" s="275"/>
    </row>
    <row r="186" spans="1:8" ht="18" customHeight="1" x14ac:dyDescent="0.25">
      <c r="A186" s="391" t="s">
        <v>104</v>
      </c>
      <c r="B186" s="392"/>
      <c r="C186" s="26"/>
      <c r="D186" s="393" t="s">
        <v>105</v>
      </c>
      <c r="E186" s="392"/>
      <c r="F186" s="26"/>
      <c r="G186" s="50" t="s">
        <v>106</v>
      </c>
      <c r="H186" s="27"/>
    </row>
    <row r="187" spans="1:8" ht="18" customHeight="1" x14ac:dyDescent="0.25">
      <c r="A187" s="41" t="s">
        <v>130</v>
      </c>
      <c r="B187" s="42" t="s">
        <v>60</v>
      </c>
      <c r="C187" s="379" t="s">
        <v>92</v>
      </c>
      <c r="D187" s="381"/>
      <c r="E187" s="381"/>
      <c r="F187" s="380"/>
      <c r="G187" s="42" t="s">
        <v>57</v>
      </c>
      <c r="H187" s="43" t="s">
        <v>131</v>
      </c>
    </row>
    <row r="188" spans="1:8" ht="18" customHeight="1" x14ac:dyDescent="0.25">
      <c r="A188" s="1"/>
      <c r="B188" s="2"/>
      <c r="C188" s="223"/>
      <c r="D188" s="224"/>
      <c r="E188" s="224"/>
      <c r="F188" s="247"/>
      <c r="G188" s="13"/>
      <c r="H188" s="53"/>
    </row>
    <row r="189" spans="1:8" ht="18" customHeight="1" x14ac:dyDescent="0.25">
      <c r="A189" s="1"/>
      <c r="B189" s="2"/>
      <c r="C189" s="223"/>
      <c r="D189" s="224"/>
      <c r="E189" s="224"/>
      <c r="F189" s="247"/>
      <c r="G189" s="13"/>
      <c r="H189" s="53"/>
    </row>
    <row r="190" spans="1:8" ht="18" customHeight="1" x14ac:dyDescent="0.25">
      <c r="A190" s="1"/>
      <c r="B190" s="2"/>
      <c r="C190" s="223"/>
      <c r="D190" s="224"/>
      <c r="E190" s="224"/>
      <c r="F190" s="247"/>
      <c r="G190" s="13"/>
      <c r="H190" s="53"/>
    </row>
    <row r="191" spans="1:8" ht="18" customHeight="1" x14ac:dyDescent="0.25">
      <c r="A191" s="1"/>
      <c r="B191" s="2"/>
      <c r="C191" s="223"/>
      <c r="D191" s="224"/>
      <c r="E191" s="224"/>
      <c r="F191" s="247"/>
      <c r="G191" s="13"/>
      <c r="H191" s="53"/>
    </row>
    <row r="192" spans="1:8" ht="18" customHeight="1" thickBot="1" x14ac:dyDescent="0.3">
      <c r="A192" s="1"/>
      <c r="B192" s="2"/>
      <c r="C192" s="223"/>
      <c r="D192" s="224"/>
      <c r="E192" s="224"/>
      <c r="F192" s="247"/>
      <c r="G192" s="13"/>
      <c r="H192" s="53"/>
    </row>
    <row r="193" spans="1:8" ht="18" customHeight="1" x14ac:dyDescent="0.25">
      <c r="A193" s="273" t="s">
        <v>107</v>
      </c>
      <c r="B193" s="274"/>
      <c r="C193" s="274"/>
      <c r="D193" s="274"/>
      <c r="E193" s="274"/>
      <c r="F193" s="274"/>
      <c r="G193" s="274"/>
      <c r="H193" s="275"/>
    </row>
    <row r="194" spans="1:8" ht="18" customHeight="1" x14ac:dyDescent="0.25">
      <c r="A194" s="391" t="s">
        <v>108</v>
      </c>
      <c r="B194" s="392"/>
      <c r="C194" s="26"/>
      <c r="D194" s="393" t="s">
        <v>109</v>
      </c>
      <c r="E194" s="392"/>
      <c r="F194" s="26"/>
      <c r="G194" s="50" t="s">
        <v>106</v>
      </c>
      <c r="H194" s="27"/>
    </row>
    <row r="195" spans="1:8" ht="18" customHeight="1" x14ac:dyDescent="0.25">
      <c r="A195" s="41" t="s">
        <v>130</v>
      </c>
      <c r="B195" s="42" t="s">
        <v>60</v>
      </c>
      <c r="C195" s="379" t="s">
        <v>92</v>
      </c>
      <c r="D195" s="381"/>
      <c r="E195" s="381"/>
      <c r="F195" s="380"/>
      <c r="G195" s="42" t="s">
        <v>57</v>
      </c>
      <c r="H195" s="43" t="s">
        <v>131</v>
      </c>
    </row>
    <row r="196" spans="1:8" ht="18" customHeight="1" x14ac:dyDescent="0.25">
      <c r="A196" s="1"/>
      <c r="B196" s="2"/>
      <c r="C196" s="223"/>
      <c r="D196" s="224"/>
      <c r="E196" s="224"/>
      <c r="F196" s="247"/>
      <c r="G196" s="13"/>
      <c r="H196" s="53"/>
    </row>
    <row r="197" spans="1:8" ht="18" customHeight="1" x14ac:dyDescent="0.25">
      <c r="A197" s="1"/>
      <c r="B197" s="2"/>
      <c r="C197" s="223"/>
      <c r="D197" s="224"/>
      <c r="E197" s="224"/>
      <c r="F197" s="247"/>
      <c r="G197" s="13"/>
      <c r="H197" s="53"/>
    </row>
    <row r="198" spans="1:8" ht="18" customHeight="1" x14ac:dyDescent="0.25">
      <c r="A198" s="1"/>
      <c r="B198" s="2"/>
      <c r="C198" s="223"/>
      <c r="D198" s="224"/>
      <c r="E198" s="224"/>
      <c r="F198" s="247"/>
      <c r="G198" s="13"/>
      <c r="H198" s="53"/>
    </row>
    <row r="199" spans="1:8" ht="18" customHeight="1" x14ac:dyDescent="0.25">
      <c r="A199" s="1"/>
      <c r="B199" s="2"/>
      <c r="C199" s="223"/>
      <c r="D199" s="224"/>
      <c r="E199" s="224"/>
      <c r="F199" s="247"/>
      <c r="G199" s="13"/>
      <c r="H199" s="53"/>
    </row>
    <row r="200" spans="1:8" ht="18" customHeight="1" x14ac:dyDescent="0.25">
      <c r="A200" s="1"/>
      <c r="B200" s="2"/>
      <c r="C200" s="223"/>
      <c r="D200" s="224"/>
      <c r="E200" s="224"/>
      <c r="F200" s="247"/>
      <c r="G200" s="13"/>
      <c r="H200" s="53"/>
    </row>
    <row r="201" spans="1:8" ht="18" customHeight="1" x14ac:dyDescent="0.25">
      <c r="A201" s="228" t="s">
        <v>110</v>
      </c>
      <c r="B201" s="229"/>
      <c r="C201" s="229"/>
      <c r="D201" s="229"/>
      <c r="E201" s="229"/>
      <c r="F201" s="229"/>
      <c r="G201" s="229"/>
      <c r="H201" s="230"/>
    </row>
    <row r="202" spans="1:8" ht="18" customHeight="1" x14ac:dyDescent="0.25">
      <c r="A202" s="226" t="s">
        <v>111</v>
      </c>
      <c r="B202" s="227"/>
      <c r="C202" s="42" t="s">
        <v>112</v>
      </c>
      <c r="D202" s="227" t="s">
        <v>57</v>
      </c>
      <c r="E202" s="227"/>
      <c r="F202" s="227" t="s">
        <v>113</v>
      </c>
      <c r="G202" s="227"/>
      <c r="H202" s="43" t="s">
        <v>87</v>
      </c>
    </row>
    <row r="203" spans="1:8" ht="18" customHeight="1" x14ac:dyDescent="0.25">
      <c r="A203" s="220"/>
      <c r="B203" s="221"/>
      <c r="C203" s="18">
        <v>0</v>
      </c>
      <c r="D203" s="221"/>
      <c r="E203" s="221"/>
      <c r="F203" s="221"/>
      <c r="G203" s="221"/>
      <c r="H203" s="53"/>
    </row>
    <row r="204" spans="1:8" ht="18" customHeight="1" x14ac:dyDescent="0.25">
      <c r="A204" s="220"/>
      <c r="B204" s="221"/>
      <c r="C204" s="18">
        <v>0</v>
      </c>
      <c r="D204" s="221"/>
      <c r="E204" s="221"/>
      <c r="F204" s="221"/>
      <c r="G204" s="221"/>
      <c r="H204" s="53"/>
    </row>
    <row r="205" spans="1:8" ht="18" customHeight="1" x14ac:dyDescent="0.25">
      <c r="A205" s="220"/>
      <c r="B205" s="221"/>
      <c r="C205" s="18">
        <v>0</v>
      </c>
      <c r="D205" s="221"/>
      <c r="E205" s="221"/>
      <c r="F205" s="221"/>
      <c r="G205" s="221"/>
      <c r="H205" s="53"/>
    </row>
    <row r="206" spans="1:8" ht="18" customHeight="1" x14ac:dyDescent="0.25">
      <c r="A206" s="220"/>
      <c r="B206" s="221"/>
      <c r="C206" s="18">
        <v>0</v>
      </c>
      <c r="D206" s="221"/>
      <c r="E206" s="221"/>
      <c r="F206" s="221"/>
      <c r="G206" s="221"/>
      <c r="H206" s="53"/>
    </row>
    <row r="207" spans="1:8" ht="18" customHeight="1" x14ac:dyDescent="0.25">
      <c r="A207" s="220"/>
      <c r="B207" s="221"/>
      <c r="C207" s="18">
        <v>0</v>
      </c>
      <c r="D207" s="221"/>
      <c r="E207" s="221"/>
      <c r="F207" s="221"/>
      <c r="G207" s="221"/>
      <c r="H207" s="53"/>
    </row>
    <row r="208" spans="1:8" ht="18" customHeight="1" x14ac:dyDescent="0.25">
      <c r="A208" s="220"/>
      <c r="B208" s="221"/>
      <c r="C208" s="18">
        <v>0</v>
      </c>
      <c r="D208" s="221"/>
      <c r="E208" s="221"/>
      <c r="F208" s="221"/>
      <c r="G208" s="221"/>
      <c r="H208" s="53"/>
    </row>
    <row r="209" spans="1:8" ht="18" customHeight="1" x14ac:dyDescent="0.25">
      <c r="A209" s="220"/>
      <c r="B209" s="221"/>
      <c r="C209" s="18">
        <v>0</v>
      </c>
      <c r="D209" s="221"/>
      <c r="E209" s="221"/>
      <c r="F209" s="221"/>
      <c r="G209" s="221"/>
      <c r="H209" s="53"/>
    </row>
    <row r="210" spans="1:8" ht="18" customHeight="1" x14ac:dyDescent="0.25">
      <c r="A210" s="220"/>
      <c r="B210" s="221"/>
      <c r="C210" s="18">
        <v>0</v>
      </c>
      <c r="D210" s="221"/>
      <c r="E210" s="221"/>
      <c r="F210" s="221"/>
      <c r="G210" s="221"/>
      <c r="H210" s="53"/>
    </row>
    <row r="211" spans="1:8" ht="18" customHeight="1" x14ac:dyDescent="0.25">
      <c r="A211" s="220"/>
      <c r="B211" s="221"/>
      <c r="C211" s="18">
        <v>0</v>
      </c>
      <c r="D211" s="221"/>
      <c r="E211" s="221"/>
      <c r="F211" s="221"/>
      <c r="G211" s="221"/>
      <c r="H211" s="53"/>
    </row>
    <row r="212" spans="1:8" ht="18" customHeight="1" x14ac:dyDescent="0.25">
      <c r="A212" s="220"/>
      <c r="B212" s="221"/>
      <c r="C212" s="18">
        <v>0</v>
      </c>
      <c r="D212" s="221"/>
      <c r="E212" s="221"/>
      <c r="F212" s="221"/>
      <c r="G212" s="221"/>
      <c r="H212" s="53"/>
    </row>
    <row r="213" spans="1:8" ht="18" customHeight="1" thickBot="1" x14ac:dyDescent="0.3">
      <c r="A213" s="220"/>
      <c r="B213" s="221"/>
      <c r="C213" s="18">
        <v>0</v>
      </c>
      <c r="D213" s="221"/>
      <c r="E213" s="221"/>
      <c r="F213" s="221"/>
      <c r="G213" s="221"/>
      <c r="H213" s="53"/>
    </row>
    <row r="214" spans="1:8" ht="18" customHeight="1" x14ac:dyDescent="0.25">
      <c r="A214" s="273" t="s">
        <v>78</v>
      </c>
      <c r="B214" s="274"/>
      <c r="C214" s="274"/>
      <c r="D214" s="274"/>
      <c r="E214" s="274"/>
      <c r="F214" s="274"/>
      <c r="G214" s="274"/>
      <c r="H214" s="275"/>
    </row>
    <row r="215" spans="1:8" ht="18" customHeight="1" x14ac:dyDescent="0.25">
      <c r="A215" s="41" t="s">
        <v>130</v>
      </c>
      <c r="B215" s="42" t="s">
        <v>60</v>
      </c>
      <c r="C215" s="379" t="s">
        <v>92</v>
      </c>
      <c r="D215" s="381"/>
      <c r="E215" s="381"/>
      <c r="F215" s="380"/>
      <c r="G215" s="42" t="s">
        <v>57</v>
      </c>
      <c r="H215" s="43" t="s">
        <v>131</v>
      </c>
    </row>
    <row r="216" spans="1:8" ht="18" customHeight="1" x14ac:dyDescent="0.25">
      <c r="A216" s="1"/>
      <c r="B216" s="2"/>
      <c r="C216" s="223"/>
      <c r="D216" s="224"/>
      <c r="E216" s="224"/>
      <c r="F216" s="247"/>
      <c r="G216" s="13"/>
      <c r="H216" s="53"/>
    </row>
    <row r="217" spans="1:8" ht="18" customHeight="1" x14ac:dyDescent="0.25">
      <c r="A217" s="1"/>
      <c r="B217" s="2"/>
      <c r="C217" s="223"/>
      <c r="D217" s="224"/>
      <c r="E217" s="224"/>
      <c r="F217" s="247"/>
      <c r="G217" s="13"/>
      <c r="H217" s="53"/>
    </row>
    <row r="218" spans="1:8" ht="18" customHeight="1" x14ac:dyDescent="0.25">
      <c r="A218" s="1"/>
      <c r="B218" s="2"/>
      <c r="C218" s="223"/>
      <c r="D218" s="224"/>
      <c r="E218" s="224"/>
      <c r="F218" s="247"/>
      <c r="G218" s="13"/>
      <c r="H218" s="53"/>
    </row>
    <row r="219" spans="1:8" ht="18" customHeight="1" x14ac:dyDescent="0.25">
      <c r="A219" s="1"/>
      <c r="B219" s="2"/>
      <c r="C219" s="223"/>
      <c r="D219" s="224"/>
      <c r="E219" s="224"/>
      <c r="F219" s="247"/>
      <c r="G219" s="13"/>
      <c r="H219" s="53"/>
    </row>
    <row r="220" spans="1:8" ht="18" customHeight="1" x14ac:dyDescent="0.25">
      <c r="A220" s="1"/>
      <c r="B220" s="2"/>
      <c r="C220" s="223"/>
      <c r="D220" s="224"/>
      <c r="E220" s="224"/>
      <c r="F220" s="247"/>
      <c r="G220" s="13"/>
      <c r="H220" s="53"/>
    </row>
    <row r="221" spans="1:8" ht="18" customHeight="1" x14ac:dyDescent="0.25">
      <c r="A221" s="228" t="s">
        <v>114</v>
      </c>
      <c r="B221" s="229"/>
      <c r="C221" s="229"/>
      <c r="D221" s="229"/>
      <c r="E221" s="229"/>
      <c r="F221" s="229"/>
      <c r="G221" s="229"/>
      <c r="H221" s="230"/>
    </row>
    <row r="222" spans="1:8" ht="18" customHeight="1" x14ac:dyDescent="0.25">
      <c r="A222" s="394" t="s">
        <v>115</v>
      </c>
      <c r="B222" s="380"/>
      <c r="C222" s="379" t="s">
        <v>113</v>
      </c>
      <c r="D222" s="381"/>
      <c r="E222" s="381"/>
      <c r="F222" s="380"/>
      <c r="G222" s="51" t="s">
        <v>116</v>
      </c>
      <c r="H222" s="52" t="s">
        <v>58</v>
      </c>
    </row>
    <row r="223" spans="1:8" ht="18" customHeight="1" x14ac:dyDescent="0.25">
      <c r="A223" s="246"/>
      <c r="B223" s="247"/>
      <c r="C223" s="223"/>
      <c r="D223" s="224"/>
      <c r="E223" s="224"/>
      <c r="F223" s="247"/>
      <c r="G223" s="32">
        <v>0</v>
      </c>
      <c r="H223" s="55"/>
    </row>
    <row r="224" spans="1:8" ht="18" customHeight="1" x14ac:dyDescent="0.25">
      <c r="A224" s="246"/>
      <c r="B224" s="247"/>
      <c r="C224" s="223"/>
      <c r="D224" s="224"/>
      <c r="E224" s="224"/>
      <c r="F224" s="247"/>
      <c r="G224" s="32">
        <v>0</v>
      </c>
      <c r="H224" s="55"/>
    </row>
    <row r="225" spans="1:8" ht="18" customHeight="1" x14ac:dyDescent="0.25">
      <c r="A225" s="246"/>
      <c r="B225" s="247"/>
      <c r="C225" s="223"/>
      <c r="D225" s="224"/>
      <c r="E225" s="224"/>
      <c r="F225" s="247"/>
      <c r="G225" s="32">
        <v>0</v>
      </c>
      <c r="H225" s="55"/>
    </row>
    <row r="226" spans="1:8" ht="18" customHeight="1" x14ac:dyDescent="0.25">
      <c r="A226" s="246"/>
      <c r="B226" s="247"/>
      <c r="C226" s="223"/>
      <c r="D226" s="224"/>
      <c r="E226" s="224"/>
      <c r="F226" s="247"/>
      <c r="G226" s="32">
        <v>0</v>
      </c>
      <c r="H226" s="55"/>
    </row>
    <row r="227" spans="1:8" ht="18" customHeight="1" x14ac:dyDescent="0.25">
      <c r="A227" s="246"/>
      <c r="B227" s="247"/>
      <c r="C227" s="223"/>
      <c r="D227" s="224"/>
      <c r="E227" s="224"/>
      <c r="F227" s="247"/>
      <c r="G227" s="32">
        <v>0</v>
      </c>
      <c r="H227" s="55"/>
    </row>
    <row r="228" spans="1:8" ht="18" customHeight="1" x14ac:dyDescent="0.25">
      <c r="A228" s="246"/>
      <c r="B228" s="247"/>
      <c r="C228" s="223"/>
      <c r="D228" s="224"/>
      <c r="E228" s="224"/>
      <c r="F228" s="247"/>
      <c r="G228" s="32">
        <v>0</v>
      </c>
      <c r="H228" s="55"/>
    </row>
    <row r="229" spans="1:8" ht="18" customHeight="1" x14ac:dyDescent="0.25">
      <c r="A229" s="246"/>
      <c r="B229" s="247"/>
      <c r="C229" s="223"/>
      <c r="D229" s="224"/>
      <c r="E229" s="224"/>
      <c r="F229" s="247"/>
      <c r="G229" s="32">
        <v>0</v>
      </c>
      <c r="H229" s="55"/>
    </row>
    <row r="230" spans="1:8" ht="18" customHeight="1" x14ac:dyDescent="0.25">
      <c r="A230" s="246"/>
      <c r="B230" s="247"/>
      <c r="C230" s="223"/>
      <c r="D230" s="224"/>
      <c r="E230" s="224"/>
      <c r="F230" s="247"/>
      <c r="G230" s="32">
        <v>0</v>
      </c>
      <c r="H230" s="55"/>
    </row>
    <row r="231" spans="1:8" ht="18" customHeight="1" x14ac:dyDescent="0.25">
      <c r="A231" s="246"/>
      <c r="B231" s="247"/>
      <c r="C231" s="223"/>
      <c r="D231" s="224"/>
      <c r="E231" s="224"/>
      <c r="F231" s="247"/>
      <c r="G231" s="32">
        <v>0</v>
      </c>
      <c r="H231" s="55"/>
    </row>
    <row r="232" spans="1:8" ht="18" customHeight="1" x14ac:dyDescent="0.25">
      <c r="A232" s="246"/>
      <c r="B232" s="247"/>
      <c r="C232" s="223"/>
      <c r="D232" s="224"/>
      <c r="E232" s="224"/>
      <c r="F232" s="247"/>
      <c r="G232" s="32">
        <v>0</v>
      </c>
      <c r="H232" s="55"/>
    </row>
    <row r="233" spans="1:8" ht="18" customHeight="1" thickBot="1" x14ac:dyDescent="0.3">
      <c r="A233" s="246"/>
      <c r="B233" s="247"/>
      <c r="C233" s="223"/>
      <c r="D233" s="224"/>
      <c r="E233" s="224"/>
      <c r="F233" s="247"/>
      <c r="G233" s="32">
        <v>0</v>
      </c>
      <c r="H233" s="55"/>
    </row>
    <row r="234" spans="1:8" ht="18" customHeight="1" x14ac:dyDescent="0.25">
      <c r="A234" s="273" t="s">
        <v>117</v>
      </c>
      <c r="B234" s="274"/>
      <c r="C234" s="274"/>
      <c r="D234" s="274"/>
      <c r="E234" s="274"/>
      <c r="F234" s="274"/>
      <c r="G234" s="274"/>
      <c r="H234" s="275"/>
    </row>
    <row r="235" spans="1:8" ht="18" customHeight="1" x14ac:dyDescent="0.25">
      <c r="A235" s="391" t="s">
        <v>118</v>
      </c>
      <c r="B235" s="392"/>
      <c r="C235" s="26"/>
      <c r="D235" s="393" t="s">
        <v>119</v>
      </c>
      <c r="E235" s="392"/>
      <c r="F235" s="26"/>
      <c r="G235" s="50" t="s">
        <v>10</v>
      </c>
      <c r="H235" s="27"/>
    </row>
    <row r="236" spans="1:8" ht="18" customHeight="1" x14ac:dyDescent="0.25">
      <c r="A236" s="391" t="s">
        <v>120</v>
      </c>
      <c r="B236" s="392"/>
      <c r="C236" s="26"/>
      <c r="D236" s="393" t="s">
        <v>121</v>
      </c>
      <c r="E236" s="392"/>
      <c r="F236" s="26"/>
      <c r="G236" s="50" t="s">
        <v>11</v>
      </c>
      <c r="H236" s="27"/>
    </row>
    <row r="237" spans="1:8" ht="18" customHeight="1" x14ac:dyDescent="0.25">
      <c r="A237" s="41" t="s">
        <v>130</v>
      </c>
      <c r="B237" s="42" t="s">
        <v>60</v>
      </c>
      <c r="C237" s="379" t="s">
        <v>92</v>
      </c>
      <c r="D237" s="381"/>
      <c r="E237" s="381"/>
      <c r="F237" s="380"/>
      <c r="G237" s="42" t="s">
        <v>57</v>
      </c>
      <c r="H237" s="43" t="s">
        <v>131</v>
      </c>
    </row>
    <row r="238" spans="1:8" ht="18" customHeight="1" x14ac:dyDescent="0.25">
      <c r="A238" s="1"/>
      <c r="B238" s="2"/>
      <c r="C238" s="223"/>
      <c r="D238" s="224"/>
      <c r="E238" s="224"/>
      <c r="F238" s="247"/>
      <c r="G238" s="13"/>
      <c r="H238" s="53"/>
    </row>
    <row r="239" spans="1:8" ht="18" customHeight="1" x14ac:dyDescent="0.25">
      <c r="A239" s="1"/>
      <c r="B239" s="2"/>
      <c r="C239" s="223"/>
      <c r="D239" s="224"/>
      <c r="E239" s="224"/>
      <c r="F239" s="247"/>
      <c r="G239" s="13"/>
      <c r="H239" s="53"/>
    </row>
    <row r="240" spans="1:8" ht="18" customHeight="1" x14ac:dyDescent="0.25">
      <c r="A240" s="1"/>
      <c r="B240" s="2"/>
      <c r="C240" s="223"/>
      <c r="D240" s="224"/>
      <c r="E240" s="224"/>
      <c r="F240" s="247"/>
      <c r="G240" s="13"/>
      <c r="H240" s="53"/>
    </row>
    <row r="241" spans="1:8" ht="18" customHeight="1" x14ac:dyDescent="0.25">
      <c r="A241" s="1"/>
      <c r="B241" s="2"/>
      <c r="C241" s="223"/>
      <c r="D241" s="224"/>
      <c r="E241" s="224"/>
      <c r="F241" s="247"/>
      <c r="G241" s="13"/>
      <c r="H241" s="53"/>
    </row>
    <row r="242" spans="1:8" ht="18" customHeight="1" x14ac:dyDescent="0.25">
      <c r="A242" s="1"/>
      <c r="B242" s="2"/>
      <c r="C242" s="223"/>
      <c r="D242" s="224"/>
      <c r="E242" s="224"/>
      <c r="F242" s="247"/>
      <c r="G242" s="13"/>
      <c r="H242" s="53"/>
    </row>
    <row r="243" spans="1:8" ht="18" customHeight="1" x14ac:dyDescent="0.25">
      <c r="A243" s="1"/>
      <c r="B243" s="2"/>
      <c r="C243" s="223"/>
      <c r="D243" s="224"/>
      <c r="E243" s="224"/>
      <c r="F243" s="247"/>
      <c r="G243" s="13"/>
      <c r="H243" s="53"/>
    </row>
    <row r="244" spans="1:8" ht="18" customHeight="1" x14ac:dyDescent="0.25">
      <c r="A244" s="1"/>
      <c r="B244" s="2"/>
      <c r="C244" s="223"/>
      <c r="D244" s="224"/>
      <c r="E244" s="224"/>
      <c r="F244" s="247"/>
      <c r="G244" s="13"/>
      <c r="H244" s="53"/>
    </row>
    <row r="245" spans="1:8" ht="18" customHeight="1" x14ac:dyDescent="0.25">
      <c r="A245" s="1"/>
      <c r="B245" s="2"/>
      <c r="C245" s="223"/>
      <c r="D245" s="224"/>
      <c r="E245" s="224"/>
      <c r="F245" s="247"/>
      <c r="G245" s="13"/>
      <c r="H245" s="53"/>
    </row>
    <row r="246" spans="1:8" ht="18" customHeight="1" x14ac:dyDescent="0.25">
      <c r="A246" s="1"/>
      <c r="B246" s="2"/>
      <c r="C246" s="223"/>
      <c r="D246" s="224"/>
      <c r="E246" s="224"/>
      <c r="F246" s="247"/>
      <c r="G246" s="13"/>
      <c r="H246" s="53"/>
    </row>
    <row r="247" spans="1:8" ht="18" customHeight="1" x14ac:dyDescent="0.25">
      <c r="A247" s="1"/>
      <c r="B247" s="2"/>
      <c r="C247" s="223"/>
      <c r="D247" s="224"/>
      <c r="E247" s="224"/>
      <c r="F247" s="247"/>
      <c r="G247" s="13"/>
      <c r="H247" s="53"/>
    </row>
    <row r="248" spans="1:8" ht="18" customHeight="1" x14ac:dyDescent="0.25">
      <c r="A248" s="1"/>
      <c r="B248" s="2"/>
      <c r="C248" s="223"/>
      <c r="D248" s="224"/>
      <c r="E248" s="224"/>
      <c r="F248" s="247"/>
      <c r="G248" s="13"/>
      <c r="H248" s="53"/>
    </row>
    <row r="249" spans="1:8" ht="18" customHeight="1" x14ac:dyDescent="0.25">
      <c r="A249" s="1"/>
      <c r="B249" s="2"/>
      <c r="C249" s="223"/>
      <c r="D249" s="224"/>
      <c r="E249" s="224"/>
      <c r="F249" s="247"/>
      <c r="G249" s="13"/>
      <c r="H249" s="53"/>
    </row>
    <row r="250" spans="1:8" ht="18" customHeight="1" thickBot="1" x14ac:dyDescent="0.3">
      <c r="A250" s="1"/>
      <c r="B250" s="2"/>
      <c r="C250" s="223"/>
      <c r="D250" s="224"/>
      <c r="E250" s="224"/>
      <c r="F250" s="247"/>
      <c r="G250" s="13"/>
      <c r="H250" s="53"/>
    </row>
    <row r="251" spans="1:8" ht="18" customHeight="1" x14ac:dyDescent="0.25">
      <c r="A251" s="273" t="s">
        <v>69</v>
      </c>
      <c r="B251" s="274"/>
      <c r="C251" s="274"/>
      <c r="D251" s="274"/>
      <c r="E251" s="274"/>
      <c r="F251" s="274"/>
      <c r="G251" s="274"/>
      <c r="H251" s="275"/>
    </row>
    <row r="252" spans="1:8" ht="18" customHeight="1" x14ac:dyDescent="0.25">
      <c r="A252" s="41" t="s">
        <v>130</v>
      </c>
      <c r="B252" s="42" t="s">
        <v>60</v>
      </c>
      <c r="C252" s="379" t="s">
        <v>92</v>
      </c>
      <c r="D252" s="381"/>
      <c r="E252" s="381"/>
      <c r="F252" s="380"/>
      <c r="G252" s="42" t="s">
        <v>57</v>
      </c>
      <c r="H252" s="43" t="s">
        <v>131</v>
      </c>
    </row>
    <row r="253" spans="1:8" ht="18" customHeight="1" x14ac:dyDescent="0.25">
      <c r="A253" s="1"/>
      <c r="B253" s="2"/>
      <c r="C253" s="223"/>
      <c r="D253" s="224"/>
      <c r="E253" s="224"/>
      <c r="F253" s="247"/>
      <c r="G253" s="13"/>
      <c r="H253" s="53"/>
    </row>
    <row r="254" spans="1:8" ht="18" customHeight="1" x14ac:dyDescent="0.25">
      <c r="A254" s="1"/>
      <c r="B254" s="2"/>
      <c r="C254" s="223"/>
      <c r="D254" s="224"/>
      <c r="E254" s="224"/>
      <c r="F254" s="247"/>
      <c r="G254" s="13"/>
      <c r="H254" s="53"/>
    </row>
    <row r="255" spans="1:8" ht="18" customHeight="1" x14ac:dyDescent="0.25">
      <c r="A255" s="1"/>
      <c r="B255" s="2"/>
      <c r="C255" s="223"/>
      <c r="D255" s="224"/>
      <c r="E255" s="224"/>
      <c r="F255" s="247"/>
      <c r="G255" s="13"/>
      <c r="H255" s="53"/>
    </row>
    <row r="256" spans="1:8" ht="18" customHeight="1" x14ac:dyDescent="0.25">
      <c r="A256" s="1"/>
      <c r="B256" s="2"/>
      <c r="C256" s="223"/>
      <c r="D256" s="224"/>
      <c r="E256" s="224"/>
      <c r="F256" s="247"/>
      <c r="G256" s="13"/>
      <c r="H256" s="53"/>
    </row>
    <row r="257" spans="1:8" ht="18" customHeight="1" thickBot="1" x14ac:dyDescent="0.3">
      <c r="A257" s="1"/>
      <c r="B257" s="2"/>
      <c r="C257" s="223"/>
      <c r="D257" s="224"/>
      <c r="E257" s="224"/>
      <c r="F257" s="247"/>
      <c r="G257" s="13"/>
      <c r="H257" s="53"/>
    </row>
    <row r="258" spans="1:8" ht="18" customHeight="1" x14ac:dyDescent="0.25">
      <c r="A258" s="382" t="s">
        <v>122</v>
      </c>
      <c r="B258" s="383"/>
      <c r="C258" s="383"/>
      <c r="D258" s="383"/>
      <c r="E258" s="383"/>
      <c r="F258" s="383"/>
      <c r="G258" s="383"/>
      <c r="H258" s="384"/>
    </row>
    <row r="259" spans="1:8" ht="18" customHeight="1" x14ac:dyDescent="0.25">
      <c r="A259" s="385"/>
      <c r="B259" s="379" t="s">
        <v>123</v>
      </c>
      <c r="C259" s="380"/>
      <c r="D259" s="379" t="s">
        <v>124</v>
      </c>
      <c r="E259" s="380"/>
      <c r="F259" s="379" t="s">
        <v>125</v>
      </c>
      <c r="G259" s="380"/>
      <c r="H259" s="387"/>
    </row>
    <row r="260" spans="1:8" ht="18" customHeight="1" x14ac:dyDescent="0.25">
      <c r="A260" s="386"/>
      <c r="B260" s="373"/>
      <c r="C260" s="374"/>
      <c r="D260" s="375"/>
      <c r="E260" s="269"/>
      <c r="F260" s="373">
        <f t="shared" ref="F260:F267" si="0">B260*D260</f>
        <v>0</v>
      </c>
      <c r="G260" s="374"/>
      <c r="H260" s="388"/>
    </row>
    <row r="261" spans="1:8" ht="18" customHeight="1" x14ac:dyDescent="0.25">
      <c r="A261" s="386"/>
      <c r="B261" s="373"/>
      <c r="C261" s="374"/>
      <c r="D261" s="375"/>
      <c r="E261" s="269"/>
      <c r="F261" s="373">
        <f t="shared" si="0"/>
        <v>0</v>
      </c>
      <c r="G261" s="374"/>
      <c r="H261" s="388"/>
    </row>
    <row r="262" spans="1:8" ht="18" customHeight="1" x14ac:dyDescent="0.25">
      <c r="A262" s="386"/>
      <c r="B262" s="373"/>
      <c r="C262" s="374"/>
      <c r="D262" s="375"/>
      <c r="E262" s="269"/>
      <c r="F262" s="373">
        <f t="shared" si="0"/>
        <v>0</v>
      </c>
      <c r="G262" s="374"/>
      <c r="H262" s="388"/>
    </row>
    <row r="263" spans="1:8" ht="18" customHeight="1" x14ac:dyDescent="0.25">
      <c r="A263" s="386"/>
      <c r="B263" s="373"/>
      <c r="C263" s="374"/>
      <c r="D263" s="375"/>
      <c r="E263" s="269"/>
      <c r="F263" s="373">
        <f t="shared" si="0"/>
        <v>0</v>
      </c>
      <c r="G263" s="374"/>
      <c r="H263" s="388"/>
    </row>
    <row r="264" spans="1:8" ht="18" customHeight="1" x14ac:dyDescent="0.25">
      <c r="A264" s="386"/>
      <c r="B264" s="373"/>
      <c r="C264" s="374"/>
      <c r="D264" s="375"/>
      <c r="E264" s="269"/>
      <c r="F264" s="373">
        <f t="shared" si="0"/>
        <v>0</v>
      </c>
      <c r="G264" s="374"/>
      <c r="H264" s="388"/>
    </row>
    <row r="265" spans="1:8" ht="18" customHeight="1" x14ac:dyDescent="0.25">
      <c r="A265" s="386"/>
      <c r="B265" s="373"/>
      <c r="C265" s="374"/>
      <c r="D265" s="375"/>
      <c r="E265" s="269"/>
      <c r="F265" s="373">
        <f t="shared" si="0"/>
        <v>0</v>
      </c>
      <c r="G265" s="374"/>
      <c r="H265" s="388"/>
    </row>
    <row r="266" spans="1:8" ht="18" customHeight="1" x14ac:dyDescent="0.25">
      <c r="A266" s="386"/>
      <c r="B266" s="373"/>
      <c r="C266" s="374"/>
      <c r="D266" s="375"/>
      <c r="E266" s="269"/>
      <c r="F266" s="373">
        <f t="shared" si="0"/>
        <v>0</v>
      </c>
      <c r="G266" s="374"/>
      <c r="H266" s="388"/>
    </row>
    <row r="267" spans="1:8" ht="18" customHeight="1" x14ac:dyDescent="0.25">
      <c r="A267" s="386"/>
      <c r="B267" s="373"/>
      <c r="C267" s="374"/>
      <c r="D267" s="375"/>
      <c r="E267" s="269"/>
      <c r="F267" s="373">
        <f t="shared" si="0"/>
        <v>0</v>
      </c>
      <c r="G267" s="374"/>
      <c r="H267" s="388"/>
    </row>
    <row r="268" spans="1:8" ht="18" customHeight="1" x14ac:dyDescent="0.25">
      <c r="A268" s="386"/>
      <c r="B268" s="376" t="s">
        <v>126</v>
      </c>
      <c r="C268" s="377"/>
      <c r="D268" s="377"/>
      <c r="E268" s="378"/>
      <c r="F268" s="389">
        <f>SUM(F260:G267)</f>
        <v>0</v>
      </c>
      <c r="G268" s="390"/>
      <c r="H268" s="388"/>
    </row>
    <row r="269" spans="1:8" ht="18" customHeight="1" x14ac:dyDescent="0.25">
      <c r="A269" s="265" t="s">
        <v>127</v>
      </c>
      <c r="B269" s="266"/>
      <c r="C269" s="266"/>
      <c r="D269" s="266"/>
      <c r="E269" s="266"/>
      <c r="F269" s="266"/>
      <c r="G269" s="266"/>
      <c r="H269" s="267"/>
    </row>
    <row r="270" spans="1:8" ht="18" customHeight="1" x14ac:dyDescent="0.25">
      <c r="A270" s="226" t="s">
        <v>128</v>
      </c>
      <c r="B270" s="227"/>
      <c r="C270" s="42" t="s">
        <v>112</v>
      </c>
      <c r="D270" s="42" t="s">
        <v>57</v>
      </c>
      <c r="E270" s="379" t="s">
        <v>113</v>
      </c>
      <c r="F270" s="380"/>
      <c r="G270" s="42" t="s">
        <v>135</v>
      </c>
      <c r="H270" s="43" t="s">
        <v>131</v>
      </c>
    </row>
    <row r="271" spans="1:8" ht="18" customHeight="1" x14ac:dyDescent="0.25">
      <c r="A271" s="220"/>
      <c r="B271" s="221"/>
      <c r="C271" s="18">
        <v>0</v>
      </c>
      <c r="D271" s="14"/>
      <c r="E271" s="223"/>
      <c r="F271" s="247"/>
      <c r="G271" s="2"/>
      <c r="H271" s="53"/>
    </row>
    <row r="272" spans="1:8" ht="18" customHeight="1" x14ac:dyDescent="0.25">
      <c r="A272" s="220"/>
      <c r="B272" s="221"/>
      <c r="C272" s="18">
        <v>0</v>
      </c>
      <c r="D272" s="14"/>
      <c r="E272" s="223"/>
      <c r="F272" s="247"/>
      <c r="G272" s="2"/>
      <c r="H272" s="53"/>
    </row>
    <row r="273" spans="1:8" ht="18" customHeight="1" x14ac:dyDescent="0.25">
      <c r="A273" s="220"/>
      <c r="B273" s="221"/>
      <c r="C273" s="18">
        <v>0</v>
      </c>
      <c r="D273" s="14"/>
      <c r="E273" s="223"/>
      <c r="F273" s="247"/>
      <c r="G273" s="2"/>
      <c r="H273" s="53"/>
    </row>
    <row r="274" spans="1:8" ht="18" customHeight="1" x14ac:dyDescent="0.25">
      <c r="A274" s="220"/>
      <c r="B274" s="221"/>
      <c r="C274" s="18">
        <v>0</v>
      </c>
      <c r="D274" s="14"/>
      <c r="E274" s="223"/>
      <c r="F274" s="247"/>
      <c r="G274" s="2"/>
      <c r="H274" s="53"/>
    </row>
    <row r="275" spans="1:8" ht="18" customHeight="1" x14ac:dyDescent="0.25">
      <c r="A275" s="220"/>
      <c r="B275" s="221"/>
      <c r="C275" s="18">
        <v>0</v>
      </c>
      <c r="D275" s="14"/>
      <c r="E275" s="223"/>
      <c r="F275" s="247"/>
      <c r="G275" s="2"/>
      <c r="H275" s="53"/>
    </row>
    <row r="276" spans="1:8" ht="18" customHeight="1" x14ac:dyDescent="0.25">
      <c r="A276" s="220"/>
      <c r="B276" s="221"/>
      <c r="C276" s="18">
        <v>0</v>
      </c>
      <c r="D276" s="14"/>
      <c r="E276" s="223"/>
      <c r="F276" s="247"/>
      <c r="G276" s="2"/>
      <c r="H276" s="53"/>
    </row>
    <row r="277" spans="1:8" ht="18" customHeight="1" x14ac:dyDescent="0.25">
      <c r="A277" s="220"/>
      <c r="B277" s="221"/>
      <c r="C277" s="18">
        <v>0</v>
      </c>
      <c r="D277" s="14"/>
      <c r="E277" s="223"/>
      <c r="F277" s="247"/>
      <c r="G277" s="2"/>
      <c r="H277" s="53"/>
    </row>
    <row r="278" spans="1:8" ht="18" customHeight="1" x14ac:dyDescent="0.25">
      <c r="A278" s="220"/>
      <c r="B278" s="221"/>
      <c r="C278" s="18">
        <v>0</v>
      </c>
      <c r="D278" s="14"/>
      <c r="E278" s="223"/>
      <c r="F278" s="247"/>
      <c r="G278" s="2"/>
      <c r="H278" s="53"/>
    </row>
    <row r="279" spans="1:8" ht="18" customHeight="1" x14ac:dyDescent="0.25">
      <c r="A279" s="220"/>
      <c r="B279" s="221"/>
      <c r="C279" s="18">
        <v>0</v>
      </c>
      <c r="D279" s="14"/>
      <c r="E279" s="223"/>
      <c r="F279" s="247"/>
      <c r="G279" s="2"/>
      <c r="H279" s="53"/>
    </row>
    <row r="280" spans="1:8" ht="18" customHeight="1" x14ac:dyDescent="0.25">
      <c r="A280" s="220"/>
      <c r="B280" s="221"/>
      <c r="C280" s="18">
        <v>0</v>
      </c>
      <c r="D280" s="14"/>
      <c r="E280" s="223"/>
      <c r="F280" s="247"/>
      <c r="G280" s="2"/>
      <c r="H280" s="53"/>
    </row>
    <row r="281" spans="1:8" ht="18" customHeight="1" x14ac:dyDescent="0.25">
      <c r="A281" s="220"/>
      <c r="B281" s="221"/>
      <c r="C281" s="18">
        <v>0</v>
      </c>
      <c r="D281" s="14"/>
      <c r="E281" s="223"/>
      <c r="F281" s="247"/>
      <c r="G281" s="2"/>
      <c r="H281" s="53"/>
    </row>
    <row r="282" spans="1:8" ht="18" customHeight="1" x14ac:dyDescent="0.25">
      <c r="A282" s="220"/>
      <c r="B282" s="221"/>
      <c r="C282" s="18">
        <v>0</v>
      </c>
      <c r="D282" s="14"/>
      <c r="E282" s="223"/>
      <c r="F282" s="247"/>
      <c r="G282" s="2"/>
      <c r="H282" s="53"/>
    </row>
    <row r="283" spans="1:8" ht="18" customHeight="1" x14ac:dyDescent="0.25">
      <c r="A283" s="220"/>
      <c r="B283" s="221"/>
      <c r="C283" s="18">
        <v>0</v>
      </c>
      <c r="D283" s="14"/>
      <c r="E283" s="223"/>
      <c r="F283" s="247"/>
      <c r="G283" s="2"/>
      <c r="H283" s="53"/>
    </row>
    <row r="284" spans="1:8" ht="18" customHeight="1" x14ac:dyDescent="0.25">
      <c r="A284" s="220"/>
      <c r="B284" s="221"/>
      <c r="C284" s="18">
        <v>0</v>
      </c>
      <c r="D284" s="14"/>
      <c r="E284" s="223"/>
      <c r="F284" s="247"/>
      <c r="G284" s="2"/>
      <c r="H284" s="53"/>
    </row>
    <row r="285" spans="1:8" ht="18" customHeight="1" x14ac:dyDescent="0.25">
      <c r="A285" s="220"/>
      <c r="B285" s="221"/>
      <c r="C285" s="18">
        <v>0</v>
      </c>
      <c r="D285" s="14"/>
      <c r="E285" s="223"/>
      <c r="F285" s="247"/>
      <c r="G285" s="2"/>
      <c r="H285" s="53"/>
    </row>
    <row r="286" spans="1:8" ht="18" customHeight="1" x14ac:dyDescent="0.25">
      <c r="A286" s="220"/>
      <c r="B286" s="221"/>
      <c r="C286" s="18">
        <v>0</v>
      </c>
      <c r="D286" s="14"/>
      <c r="E286" s="223"/>
      <c r="F286" s="247"/>
      <c r="G286" s="2"/>
      <c r="H286" s="53"/>
    </row>
    <row r="287" spans="1:8" ht="18" customHeight="1" x14ac:dyDescent="0.25">
      <c r="A287" s="220"/>
      <c r="B287" s="221"/>
      <c r="C287" s="18">
        <v>0</v>
      </c>
      <c r="D287" s="14"/>
      <c r="E287" s="223"/>
      <c r="F287" s="247"/>
      <c r="G287" s="2"/>
      <c r="H287" s="53"/>
    </row>
  </sheetData>
  <mergeCells count="429">
    <mergeCell ref="A1:H1"/>
    <mergeCell ref="A2:H2"/>
    <mergeCell ref="C218:F218"/>
    <mergeCell ref="C219:F219"/>
    <mergeCell ref="C220:F220"/>
    <mergeCell ref="C237:F237"/>
    <mergeCell ref="A3:B4"/>
    <mergeCell ref="C3:H4"/>
    <mergeCell ref="A5:H5"/>
    <mergeCell ref="A6:B6"/>
    <mergeCell ref="C6:D6"/>
    <mergeCell ref="E6:F6"/>
    <mergeCell ref="G6:H6"/>
    <mergeCell ref="C15:F15"/>
    <mergeCell ref="C16:F16"/>
    <mergeCell ref="C17:F17"/>
    <mergeCell ref="A7:H7"/>
    <mergeCell ref="A8:C8"/>
    <mergeCell ref="E8:G8"/>
    <mergeCell ref="A9:C9"/>
    <mergeCell ref="E9:G9"/>
    <mergeCell ref="A10:C10"/>
    <mergeCell ref="E10:G10"/>
    <mergeCell ref="A11:C11"/>
    <mergeCell ref="E11:G11"/>
    <mergeCell ref="A12:C12"/>
    <mergeCell ref="E12:G12"/>
    <mergeCell ref="A13:H13"/>
    <mergeCell ref="A14:B14"/>
    <mergeCell ref="C14:H14"/>
    <mergeCell ref="C29:F29"/>
    <mergeCell ref="A21:B21"/>
    <mergeCell ref="C21:H21"/>
    <mergeCell ref="C18:F18"/>
    <mergeCell ref="C19:F19"/>
    <mergeCell ref="C20:F20"/>
    <mergeCell ref="C22:F22"/>
    <mergeCell ref="C23:F23"/>
    <mergeCell ref="A28:B28"/>
    <mergeCell ref="C28:H28"/>
    <mergeCell ref="C24:F24"/>
    <mergeCell ref="C25:F25"/>
    <mergeCell ref="C26:F26"/>
    <mergeCell ref="C27:F27"/>
    <mergeCell ref="A35:B35"/>
    <mergeCell ref="C35:H35"/>
    <mergeCell ref="C30:F30"/>
    <mergeCell ref="C31:F31"/>
    <mergeCell ref="C32:F32"/>
    <mergeCell ref="C33:F33"/>
    <mergeCell ref="C34:F34"/>
    <mergeCell ref="C36:F36"/>
    <mergeCell ref="C37:F37"/>
    <mergeCell ref="C38:F38"/>
    <mergeCell ref="C39:F39"/>
    <mergeCell ref="C40:F40"/>
    <mergeCell ref="C41:F41"/>
    <mergeCell ref="C53:F53"/>
    <mergeCell ref="A42:B42"/>
    <mergeCell ref="C42:H42"/>
    <mergeCell ref="C43:F43"/>
    <mergeCell ref="C44:F44"/>
    <mergeCell ref="C45:F45"/>
    <mergeCell ref="C46:F46"/>
    <mergeCell ref="C47:F47"/>
    <mergeCell ref="A49:B49"/>
    <mergeCell ref="C49:H49"/>
    <mergeCell ref="C48:F48"/>
    <mergeCell ref="C50:F50"/>
    <mergeCell ref="C51:F51"/>
    <mergeCell ref="C52:F52"/>
    <mergeCell ref="C65:F65"/>
    <mergeCell ref="A56:B56"/>
    <mergeCell ref="C56:H56"/>
    <mergeCell ref="C54:F54"/>
    <mergeCell ref="C55:F55"/>
    <mergeCell ref="C57:F57"/>
    <mergeCell ref="C58:F58"/>
    <mergeCell ref="C59:F59"/>
    <mergeCell ref="A63:B63"/>
    <mergeCell ref="C63:H63"/>
    <mergeCell ref="C60:F60"/>
    <mergeCell ref="C61:F61"/>
    <mergeCell ref="C62:F62"/>
    <mergeCell ref="C64:F64"/>
    <mergeCell ref="A72:H72"/>
    <mergeCell ref="A73:H73"/>
    <mergeCell ref="A74:B74"/>
    <mergeCell ref="C66:F66"/>
    <mergeCell ref="C67:F67"/>
    <mergeCell ref="C68:F68"/>
    <mergeCell ref="C69:F69"/>
    <mergeCell ref="A78:B78"/>
    <mergeCell ref="A79:B79"/>
    <mergeCell ref="A80:B80"/>
    <mergeCell ref="A75:B75"/>
    <mergeCell ref="A76:B76"/>
    <mergeCell ref="A77:B77"/>
    <mergeCell ref="A84:B84"/>
    <mergeCell ref="A85:B85"/>
    <mergeCell ref="A86:B86"/>
    <mergeCell ref="A81:B81"/>
    <mergeCell ref="A82:B82"/>
    <mergeCell ref="A83:B83"/>
    <mergeCell ref="A87:B87"/>
    <mergeCell ref="A88:B88"/>
    <mergeCell ref="A89:H89"/>
    <mergeCell ref="A90:E90"/>
    <mergeCell ref="A96:C96"/>
    <mergeCell ref="D96:E96"/>
    <mergeCell ref="G92:H97"/>
    <mergeCell ref="A93:C93"/>
    <mergeCell ref="D93:E93"/>
    <mergeCell ref="A94:C94"/>
    <mergeCell ref="D94:E94"/>
    <mergeCell ref="A95:C95"/>
    <mergeCell ref="D95:E95"/>
    <mergeCell ref="A97:C97"/>
    <mergeCell ref="D97:E97"/>
    <mergeCell ref="A98:E98"/>
    <mergeCell ref="A99:E99"/>
    <mergeCell ref="A91:E91"/>
    <mergeCell ref="A92:C92"/>
    <mergeCell ref="D92:E92"/>
    <mergeCell ref="A100:C100"/>
    <mergeCell ref="D100:E100"/>
    <mergeCell ref="A112:C112"/>
    <mergeCell ref="D112:E112"/>
    <mergeCell ref="D104:E104"/>
    <mergeCell ref="A105:C105"/>
    <mergeCell ref="D105:E105"/>
    <mergeCell ref="A106:H106"/>
    <mergeCell ref="A107:E107"/>
    <mergeCell ref="A108:E108"/>
    <mergeCell ref="G100:H105"/>
    <mergeCell ref="A101:C101"/>
    <mergeCell ref="D101:E101"/>
    <mergeCell ref="A102:C102"/>
    <mergeCell ref="D102:E102"/>
    <mergeCell ref="A103:C103"/>
    <mergeCell ref="D103:E103"/>
    <mergeCell ref="A104:C104"/>
    <mergeCell ref="A132:E132"/>
    <mergeCell ref="A133:C133"/>
    <mergeCell ref="D133:E133"/>
    <mergeCell ref="D121:E121"/>
    <mergeCell ref="A122:C122"/>
    <mergeCell ref="A128:C128"/>
    <mergeCell ref="D128:E128"/>
    <mergeCell ref="A129:C129"/>
    <mergeCell ref="G109:H114"/>
    <mergeCell ref="A110:C110"/>
    <mergeCell ref="D110:E110"/>
    <mergeCell ref="A111:C111"/>
    <mergeCell ref="D111:E111"/>
    <mergeCell ref="G125:H130"/>
    <mergeCell ref="A126:C126"/>
    <mergeCell ref="D126:E126"/>
    <mergeCell ref="A127:C127"/>
    <mergeCell ref="D127:E127"/>
    <mergeCell ref="G117:H122"/>
    <mergeCell ref="A118:C118"/>
    <mergeCell ref="D118:E118"/>
    <mergeCell ref="A119:C119"/>
    <mergeCell ref="D119:E119"/>
    <mergeCell ref="A114:C114"/>
    <mergeCell ref="D129:E129"/>
    <mergeCell ref="A130:C130"/>
    <mergeCell ref="D130:E130"/>
    <mergeCell ref="D122:E122"/>
    <mergeCell ref="A123:E123"/>
    <mergeCell ref="A124:E124"/>
    <mergeCell ref="A125:C125"/>
    <mergeCell ref="D125:E125"/>
    <mergeCell ref="A131:E131"/>
    <mergeCell ref="A115:E115"/>
    <mergeCell ref="A116:E116"/>
    <mergeCell ref="A117:C117"/>
    <mergeCell ref="D117:E117"/>
    <mergeCell ref="A109:C109"/>
    <mergeCell ref="D109:E109"/>
    <mergeCell ref="A120:C120"/>
    <mergeCell ref="D120:E120"/>
    <mergeCell ref="A121:C121"/>
    <mergeCell ref="D114:E114"/>
    <mergeCell ref="A113:C113"/>
    <mergeCell ref="D113:E113"/>
    <mergeCell ref="G170:H170"/>
    <mergeCell ref="G133:H138"/>
    <mergeCell ref="A134:C134"/>
    <mergeCell ref="D134:E134"/>
    <mergeCell ref="A135:C135"/>
    <mergeCell ref="D135:E135"/>
    <mergeCell ref="A136:C136"/>
    <mergeCell ref="C149:F149"/>
    <mergeCell ref="A151:H151"/>
    <mergeCell ref="A152:B152"/>
    <mergeCell ref="D152:E152"/>
    <mergeCell ref="C150:F150"/>
    <mergeCell ref="A137:C137"/>
    <mergeCell ref="D137:E137"/>
    <mergeCell ref="A138:C138"/>
    <mergeCell ref="D138:E138"/>
    <mergeCell ref="A141:H141"/>
    <mergeCell ref="A142:H142"/>
    <mergeCell ref="C145:F145"/>
    <mergeCell ref="C146:F146"/>
    <mergeCell ref="C147:F147"/>
    <mergeCell ref="C148:F148"/>
    <mergeCell ref="D136:E136"/>
    <mergeCell ref="C153:F153"/>
    <mergeCell ref="C154:F154"/>
    <mergeCell ref="C155:F155"/>
    <mergeCell ref="C156:F156"/>
    <mergeCell ref="C157:F157"/>
    <mergeCell ref="C180:F180"/>
    <mergeCell ref="C161:F161"/>
    <mergeCell ref="C162:F162"/>
    <mergeCell ref="A168:H168"/>
    <mergeCell ref="A169:B169"/>
    <mergeCell ref="D169:E169"/>
    <mergeCell ref="A170:B170"/>
    <mergeCell ref="C163:F163"/>
    <mergeCell ref="C164:F164"/>
    <mergeCell ref="C165:F165"/>
    <mergeCell ref="A160:B160"/>
    <mergeCell ref="D160:E160"/>
    <mergeCell ref="G160:H160"/>
    <mergeCell ref="A158:H158"/>
    <mergeCell ref="A159:B159"/>
    <mergeCell ref="D159:E159"/>
    <mergeCell ref="C166:F166"/>
    <mergeCell ref="C167:F167"/>
    <mergeCell ref="D170:E170"/>
    <mergeCell ref="A177:H177"/>
    <mergeCell ref="A178:C178"/>
    <mergeCell ref="C171:F171"/>
    <mergeCell ref="C172:F172"/>
    <mergeCell ref="C173:F173"/>
    <mergeCell ref="C175:F175"/>
    <mergeCell ref="C176:F176"/>
    <mergeCell ref="C179:F179"/>
    <mergeCell ref="C174:F174"/>
    <mergeCell ref="C181:F181"/>
    <mergeCell ref="C182:F182"/>
    <mergeCell ref="C183:F183"/>
    <mergeCell ref="C184:F184"/>
    <mergeCell ref="A185:H185"/>
    <mergeCell ref="A186:B186"/>
    <mergeCell ref="D186:E186"/>
    <mergeCell ref="C187:F187"/>
    <mergeCell ref="C188:F188"/>
    <mergeCell ref="C199:F199"/>
    <mergeCell ref="C200:F200"/>
    <mergeCell ref="C189:F189"/>
    <mergeCell ref="C190:F190"/>
    <mergeCell ref="C191:F191"/>
    <mergeCell ref="A193:H193"/>
    <mergeCell ref="A194:B194"/>
    <mergeCell ref="D194:E194"/>
    <mergeCell ref="C197:F197"/>
    <mergeCell ref="C198:F198"/>
    <mergeCell ref="C192:F192"/>
    <mergeCell ref="C195:F195"/>
    <mergeCell ref="C196:F196"/>
    <mergeCell ref="A203:B203"/>
    <mergeCell ref="D203:E203"/>
    <mergeCell ref="F203:G203"/>
    <mergeCell ref="A204:B204"/>
    <mergeCell ref="D204:E204"/>
    <mergeCell ref="F204:G204"/>
    <mergeCell ref="A201:H201"/>
    <mergeCell ref="A202:B202"/>
    <mergeCell ref="A205:B205"/>
    <mergeCell ref="D205:E205"/>
    <mergeCell ref="F205:G205"/>
    <mergeCell ref="D202:E202"/>
    <mergeCell ref="F202:G202"/>
    <mergeCell ref="A207:B207"/>
    <mergeCell ref="D207:E207"/>
    <mergeCell ref="F207:G207"/>
    <mergeCell ref="A206:B206"/>
    <mergeCell ref="D206:E206"/>
    <mergeCell ref="F206:G206"/>
    <mergeCell ref="A208:B208"/>
    <mergeCell ref="D208:E208"/>
    <mergeCell ref="F208:G208"/>
    <mergeCell ref="A209:B209"/>
    <mergeCell ref="D209:E209"/>
    <mergeCell ref="F209:G209"/>
    <mergeCell ref="C215:F215"/>
    <mergeCell ref="C216:F216"/>
    <mergeCell ref="A210:B210"/>
    <mergeCell ref="D210:E210"/>
    <mergeCell ref="F210:G210"/>
    <mergeCell ref="A211:B211"/>
    <mergeCell ref="D211:E211"/>
    <mergeCell ref="F211:G211"/>
    <mergeCell ref="A214:H214"/>
    <mergeCell ref="A212:B212"/>
    <mergeCell ref="D212:E212"/>
    <mergeCell ref="F212:G212"/>
    <mergeCell ref="A213:B213"/>
    <mergeCell ref="D213:E213"/>
    <mergeCell ref="F213:G213"/>
    <mergeCell ref="C217:F217"/>
    <mergeCell ref="A223:B223"/>
    <mergeCell ref="C223:F223"/>
    <mergeCell ref="A224:B224"/>
    <mergeCell ref="C224:F224"/>
    <mergeCell ref="A225:B225"/>
    <mergeCell ref="C225:F225"/>
    <mergeCell ref="A221:H221"/>
    <mergeCell ref="A222:B222"/>
    <mergeCell ref="C222:F222"/>
    <mergeCell ref="A226:B226"/>
    <mergeCell ref="C226:F226"/>
    <mergeCell ref="A227:B227"/>
    <mergeCell ref="C227:F227"/>
    <mergeCell ref="A228:B228"/>
    <mergeCell ref="C228:F228"/>
    <mergeCell ref="A235:B235"/>
    <mergeCell ref="D235:E235"/>
    <mergeCell ref="A229:B229"/>
    <mergeCell ref="C229:F229"/>
    <mergeCell ref="A230:B230"/>
    <mergeCell ref="C230:F230"/>
    <mergeCell ref="A231:B231"/>
    <mergeCell ref="C231:F231"/>
    <mergeCell ref="B259:C259"/>
    <mergeCell ref="D259:E259"/>
    <mergeCell ref="F259:G259"/>
    <mergeCell ref="C249:F249"/>
    <mergeCell ref="C250:F250"/>
    <mergeCell ref="A251:H251"/>
    <mergeCell ref="A236:B236"/>
    <mergeCell ref="D236:E236"/>
    <mergeCell ref="A232:B232"/>
    <mergeCell ref="C232:F232"/>
    <mergeCell ref="A233:B233"/>
    <mergeCell ref="C233:F233"/>
    <mergeCell ref="A234:H234"/>
    <mergeCell ref="C243:F243"/>
    <mergeCell ref="C244:F244"/>
    <mergeCell ref="C245:F245"/>
    <mergeCell ref="C246:F246"/>
    <mergeCell ref="C247:F247"/>
    <mergeCell ref="C248:F248"/>
    <mergeCell ref="C238:F238"/>
    <mergeCell ref="C239:F239"/>
    <mergeCell ref="C240:F240"/>
    <mergeCell ref="C241:F241"/>
    <mergeCell ref="C242:F242"/>
    <mergeCell ref="D264:E264"/>
    <mergeCell ref="F268:G268"/>
    <mergeCell ref="A269:H269"/>
    <mergeCell ref="F264:G264"/>
    <mergeCell ref="B265:C265"/>
    <mergeCell ref="D265:E265"/>
    <mergeCell ref="F265:G265"/>
    <mergeCell ref="D261:E261"/>
    <mergeCell ref="F261:G261"/>
    <mergeCell ref="C252:F252"/>
    <mergeCell ref="C253:F253"/>
    <mergeCell ref="C254:F254"/>
    <mergeCell ref="C255:F255"/>
    <mergeCell ref="C256:F256"/>
    <mergeCell ref="C257:F257"/>
    <mergeCell ref="A258:H258"/>
    <mergeCell ref="A259:A268"/>
    <mergeCell ref="F266:G266"/>
    <mergeCell ref="B267:C267"/>
    <mergeCell ref="D267:E267"/>
    <mergeCell ref="F267:G267"/>
    <mergeCell ref="B262:C262"/>
    <mergeCell ref="D262:E262"/>
    <mergeCell ref="F262:G262"/>
    <mergeCell ref="B263:C263"/>
    <mergeCell ref="D263:E263"/>
    <mergeCell ref="F263:G263"/>
    <mergeCell ref="H259:H268"/>
    <mergeCell ref="B260:C260"/>
    <mergeCell ref="D260:E260"/>
    <mergeCell ref="F260:G260"/>
    <mergeCell ref="B261:C261"/>
    <mergeCell ref="B264:C264"/>
    <mergeCell ref="E287:F287"/>
    <mergeCell ref="E276:F276"/>
    <mergeCell ref="E277:F277"/>
    <mergeCell ref="E278:F278"/>
    <mergeCell ref="E279:F279"/>
    <mergeCell ref="E280:F280"/>
    <mergeCell ref="E281:F281"/>
    <mergeCell ref="A286:B286"/>
    <mergeCell ref="A287:B287"/>
    <mergeCell ref="A284:B284"/>
    <mergeCell ref="A285:B285"/>
    <mergeCell ref="A282:B282"/>
    <mergeCell ref="A283:B283"/>
    <mergeCell ref="A280:B280"/>
    <mergeCell ref="A281:B281"/>
    <mergeCell ref="A277:B277"/>
    <mergeCell ref="A279:B279"/>
    <mergeCell ref="A278:B278"/>
    <mergeCell ref="A276:B276"/>
    <mergeCell ref="A143:B143"/>
    <mergeCell ref="A144:B144"/>
    <mergeCell ref="D143:E143"/>
    <mergeCell ref="D144:E144"/>
    <mergeCell ref="E282:F282"/>
    <mergeCell ref="E283:F283"/>
    <mergeCell ref="E284:F284"/>
    <mergeCell ref="E285:F285"/>
    <mergeCell ref="E286:F286"/>
    <mergeCell ref="A271:B271"/>
    <mergeCell ref="A272:B272"/>
    <mergeCell ref="A270:B270"/>
    <mergeCell ref="B266:C266"/>
    <mergeCell ref="D266:E266"/>
    <mergeCell ref="B268:E268"/>
    <mergeCell ref="A275:B275"/>
    <mergeCell ref="A273:B273"/>
    <mergeCell ref="A274:B274"/>
    <mergeCell ref="E270:F270"/>
    <mergeCell ref="E271:F271"/>
    <mergeCell ref="E272:F272"/>
    <mergeCell ref="E273:F273"/>
    <mergeCell ref="E274:F274"/>
    <mergeCell ref="E275:F275"/>
  </mergeCells>
  <pageMargins left="0.7" right="0.7" top="1.25" bottom="0.78" header="0.3" footer="0.3"/>
  <pageSetup orientation="portrait" r:id="rId1"/>
  <headerFooter>
    <oddHeader>&amp;C&amp;G
&amp;"Century Gothic,Regular"&amp;16&amp;K252260Annual Fundraising Plan&amp;R&amp;"Century Gothic,Regular"&amp;9&amp;K252260Page &amp;P of &amp;N</oddHeader>
    <oddFooter>&amp;C&amp;"Century Gothic,Regular"&amp;9&amp;K252260Learn how our award-winning software can help you achieve your fundraising goals at DonorView.com.</oddFooter>
  </headerFooter>
  <rowBreaks count="6" manualBreakCount="6">
    <brk id="34" max="16383" man="1"/>
    <brk id="71" max="16383" man="1"/>
    <brk id="140" max="16383" man="1"/>
    <brk id="176" max="16383" man="1"/>
    <brk id="213" max="16383" man="1"/>
    <brk id="250" max="16383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BCB2-122C-4591-8B69-5CF7550F465A}">
  <dimension ref="A1:H180"/>
  <sheetViews>
    <sheetView workbookViewId="0">
      <selection activeCell="K169" sqref="K169"/>
    </sheetView>
  </sheetViews>
  <sheetFormatPr defaultRowHeight="15" x14ac:dyDescent="0.25"/>
  <cols>
    <col min="1" max="8" width="11.28515625" customWidth="1"/>
  </cols>
  <sheetData>
    <row r="1" spans="1:8" ht="24" customHeight="1" x14ac:dyDescent="0.25">
      <c r="A1" s="289" t="s">
        <v>129</v>
      </c>
      <c r="B1" s="290"/>
      <c r="C1" s="290"/>
      <c r="D1" s="290"/>
      <c r="E1" s="290"/>
      <c r="F1" s="290"/>
      <c r="G1" s="290"/>
      <c r="H1" s="291"/>
    </row>
    <row r="2" spans="1:8" ht="18" customHeight="1" x14ac:dyDescent="0.25">
      <c r="A2" s="41" t="s">
        <v>130</v>
      </c>
      <c r="B2" s="42" t="s">
        <v>60</v>
      </c>
      <c r="C2" s="379" t="s">
        <v>92</v>
      </c>
      <c r="D2" s="381"/>
      <c r="E2" s="381"/>
      <c r="F2" s="380"/>
      <c r="G2" s="42" t="s">
        <v>57</v>
      </c>
      <c r="H2" s="43" t="s">
        <v>131</v>
      </c>
    </row>
    <row r="3" spans="1:8" ht="18" customHeight="1" x14ac:dyDescent="0.25">
      <c r="A3" s="1"/>
      <c r="B3" s="2"/>
      <c r="C3" s="223"/>
      <c r="D3" s="224"/>
      <c r="E3" s="224"/>
      <c r="F3" s="247"/>
      <c r="G3" s="13"/>
      <c r="H3" s="53"/>
    </row>
    <row r="4" spans="1:8" ht="18" customHeight="1" x14ac:dyDescent="0.25">
      <c r="A4" s="1"/>
      <c r="B4" s="2"/>
      <c r="C4" s="223"/>
      <c r="D4" s="224"/>
      <c r="E4" s="224"/>
      <c r="F4" s="247"/>
      <c r="G4" s="13"/>
      <c r="H4" s="53"/>
    </row>
    <row r="5" spans="1:8" ht="18" customHeight="1" x14ac:dyDescent="0.25">
      <c r="A5" s="1"/>
      <c r="B5" s="2"/>
      <c r="C5" s="223"/>
      <c r="D5" s="224"/>
      <c r="E5" s="224"/>
      <c r="F5" s="247"/>
      <c r="G5" s="13"/>
      <c r="H5" s="53"/>
    </row>
    <row r="6" spans="1:8" ht="18" customHeight="1" x14ac:dyDescent="0.25">
      <c r="A6" s="1"/>
      <c r="B6" s="2"/>
      <c r="C6" s="223"/>
      <c r="D6" s="224"/>
      <c r="E6" s="224"/>
      <c r="F6" s="247"/>
      <c r="G6" s="13"/>
      <c r="H6" s="53"/>
    </row>
    <row r="7" spans="1:8" ht="18" customHeight="1" x14ac:dyDescent="0.25">
      <c r="A7" s="1"/>
      <c r="B7" s="2"/>
      <c r="C7" s="223"/>
      <c r="D7" s="224"/>
      <c r="E7" s="224"/>
      <c r="F7" s="247"/>
      <c r="G7" s="13"/>
      <c r="H7" s="53"/>
    </row>
    <row r="8" spans="1:8" ht="18" customHeight="1" x14ac:dyDescent="0.25">
      <c r="A8" s="1"/>
      <c r="B8" s="2"/>
      <c r="C8" s="223"/>
      <c r="D8" s="224"/>
      <c r="E8" s="224"/>
      <c r="F8" s="247"/>
      <c r="G8" s="13"/>
      <c r="H8" s="53"/>
    </row>
    <row r="9" spans="1:8" ht="18" customHeight="1" x14ac:dyDescent="0.25">
      <c r="A9" s="1"/>
      <c r="B9" s="2"/>
      <c r="C9" s="223"/>
      <c r="D9" s="224"/>
      <c r="E9" s="224"/>
      <c r="F9" s="247"/>
      <c r="G9" s="13"/>
      <c r="H9" s="53"/>
    </row>
    <row r="10" spans="1:8" ht="18" customHeight="1" x14ac:dyDescent="0.25">
      <c r="A10" s="1"/>
      <c r="B10" s="2"/>
      <c r="C10" s="223"/>
      <c r="D10" s="224"/>
      <c r="E10" s="224"/>
      <c r="F10" s="247"/>
      <c r="G10" s="13"/>
      <c r="H10" s="53"/>
    </row>
    <row r="11" spans="1:8" ht="18" customHeight="1" x14ac:dyDescent="0.25">
      <c r="A11" s="1"/>
      <c r="B11" s="2"/>
      <c r="C11" s="223"/>
      <c r="D11" s="224"/>
      <c r="E11" s="224"/>
      <c r="F11" s="247"/>
      <c r="G11" s="13"/>
      <c r="H11" s="53"/>
    </row>
    <row r="12" spans="1:8" ht="18" customHeight="1" x14ac:dyDescent="0.25">
      <c r="A12" s="1"/>
      <c r="B12" s="2"/>
      <c r="C12" s="223"/>
      <c r="D12" s="224"/>
      <c r="E12" s="224"/>
      <c r="F12" s="247"/>
      <c r="G12" s="13"/>
      <c r="H12" s="53"/>
    </row>
    <row r="13" spans="1:8" ht="18" customHeight="1" x14ac:dyDescent="0.25">
      <c r="A13" s="1"/>
      <c r="B13" s="2"/>
      <c r="C13" s="223"/>
      <c r="D13" s="224"/>
      <c r="E13" s="224"/>
      <c r="F13" s="247"/>
      <c r="G13" s="13"/>
      <c r="H13" s="53"/>
    </row>
    <row r="14" spans="1:8" ht="18" customHeight="1" x14ac:dyDescent="0.25">
      <c r="A14" s="1"/>
      <c r="B14" s="2"/>
      <c r="C14" s="223"/>
      <c r="D14" s="224"/>
      <c r="E14" s="224"/>
      <c r="F14" s="247"/>
      <c r="G14" s="13"/>
      <c r="H14" s="53"/>
    </row>
    <row r="15" spans="1:8" ht="18" customHeight="1" x14ac:dyDescent="0.25">
      <c r="A15" s="1"/>
      <c r="B15" s="2"/>
      <c r="C15" s="223"/>
      <c r="D15" s="224"/>
      <c r="E15" s="224"/>
      <c r="F15" s="247"/>
      <c r="G15" s="13"/>
      <c r="H15" s="53"/>
    </row>
    <row r="16" spans="1:8" ht="18" customHeight="1" x14ac:dyDescent="0.25">
      <c r="A16" s="1"/>
      <c r="B16" s="2"/>
      <c r="C16" s="223"/>
      <c r="D16" s="224"/>
      <c r="E16" s="224"/>
      <c r="F16" s="247"/>
      <c r="G16" s="13"/>
      <c r="H16" s="53"/>
    </row>
    <row r="17" spans="1:8" ht="18" customHeight="1" x14ac:dyDescent="0.25">
      <c r="A17" s="1"/>
      <c r="B17" s="2"/>
      <c r="C17" s="223"/>
      <c r="D17" s="224"/>
      <c r="E17" s="224"/>
      <c r="F17" s="247"/>
      <c r="G17" s="13"/>
      <c r="H17" s="53"/>
    </row>
    <row r="18" spans="1:8" ht="18" customHeight="1" x14ac:dyDescent="0.25">
      <c r="A18" s="1"/>
      <c r="B18" s="2"/>
      <c r="C18" s="223"/>
      <c r="D18" s="224"/>
      <c r="E18" s="224"/>
      <c r="F18" s="247"/>
      <c r="G18" s="13"/>
      <c r="H18" s="53"/>
    </row>
    <row r="19" spans="1:8" ht="18" customHeight="1" x14ac:dyDescent="0.25">
      <c r="A19" s="1"/>
      <c r="B19" s="2"/>
      <c r="C19" s="223"/>
      <c r="D19" s="224"/>
      <c r="E19" s="224"/>
      <c r="F19" s="247"/>
      <c r="G19" s="13"/>
      <c r="H19" s="53"/>
    </row>
    <row r="20" spans="1:8" ht="18" customHeight="1" x14ac:dyDescent="0.25">
      <c r="A20" s="1"/>
      <c r="B20" s="2"/>
      <c r="C20" s="223"/>
      <c r="D20" s="224"/>
      <c r="E20" s="224"/>
      <c r="F20" s="247"/>
      <c r="G20" s="13"/>
      <c r="H20" s="53"/>
    </row>
    <row r="21" spans="1:8" ht="18" customHeight="1" x14ac:dyDescent="0.25">
      <c r="A21" s="1"/>
      <c r="B21" s="2"/>
      <c r="C21" s="223"/>
      <c r="D21" s="224"/>
      <c r="E21" s="224"/>
      <c r="F21" s="247"/>
      <c r="G21" s="13"/>
      <c r="H21" s="53"/>
    </row>
    <row r="22" spans="1:8" ht="18" customHeight="1" x14ac:dyDescent="0.25">
      <c r="A22" s="1"/>
      <c r="B22" s="2"/>
      <c r="C22" s="223"/>
      <c r="D22" s="224"/>
      <c r="E22" s="224"/>
      <c r="F22" s="247"/>
      <c r="G22" s="13"/>
      <c r="H22" s="53"/>
    </row>
    <row r="23" spans="1:8" ht="18" customHeight="1" x14ac:dyDescent="0.25">
      <c r="A23" s="1"/>
      <c r="B23" s="2"/>
      <c r="C23" s="223"/>
      <c r="D23" s="224"/>
      <c r="E23" s="224"/>
      <c r="F23" s="247"/>
      <c r="G23" s="13"/>
      <c r="H23" s="53"/>
    </row>
    <row r="24" spans="1:8" ht="18" customHeight="1" x14ac:dyDescent="0.25">
      <c r="A24" s="1"/>
      <c r="B24" s="2"/>
      <c r="C24" s="223"/>
      <c r="D24" s="224"/>
      <c r="E24" s="224"/>
      <c r="F24" s="247"/>
      <c r="G24" s="13"/>
      <c r="H24" s="53"/>
    </row>
    <row r="25" spans="1:8" ht="18" customHeight="1" x14ac:dyDescent="0.25">
      <c r="A25" s="1"/>
      <c r="B25" s="2"/>
      <c r="C25" s="223"/>
      <c r="D25" s="224"/>
      <c r="E25" s="224"/>
      <c r="F25" s="247"/>
      <c r="G25" s="13"/>
      <c r="H25" s="53"/>
    </row>
    <row r="26" spans="1:8" ht="18" customHeight="1" x14ac:dyDescent="0.25">
      <c r="A26" s="1"/>
      <c r="B26" s="2"/>
      <c r="C26" s="223"/>
      <c r="D26" s="224"/>
      <c r="E26" s="224"/>
      <c r="F26" s="247"/>
      <c r="G26" s="13"/>
      <c r="H26" s="53"/>
    </row>
    <row r="27" spans="1:8" ht="18" customHeight="1" x14ac:dyDescent="0.25">
      <c r="A27" s="1"/>
      <c r="B27" s="2"/>
      <c r="C27" s="223"/>
      <c r="D27" s="224"/>
      <c r="E27" s="224"/>
      <c r="F27" s="247"/>
      <c r="G27" s="13"/>
      <c r="H27" s="53"/>
    </row>
    <row r="28" spans="1:8" ht="18" customHeight="1" x14ac:dyDescent="0.25">
      <c r="A28" s="1"/>
      <c r="B28" s="2"/>
      <c r="C28" s="223"/>
      <c r="D28" s="224"/>
      <c r="E28" s="224"/>
      <c r="F28" s="247"/>
      <c r="G28" s="13"/>
      <c r="H28" s="53"/>
    </row>
    <row r="29" spans="1:8" ht="18" customHeight="1" x14ac:dyDescent="0.25">
      <c r="A29" s="1"/>
      <c r="B29" s="2"/>
      <c r="C29" s="223"/>
      <c r="D29" s="224"/>
      <c r="E29" s="224"/>
      <c r="F29" s="247"/>
      <c r="G29" s="13"/>
      <c r="H29" s="53"/>
    </row>
    <row r="30" spans="1:8" ht="18" customHeight="1" x14ac:dyDescent="0.25">
      <c r="A30" s="1"/>
      <c r="B30" s="2"/>
      <c r="C30" s="223"/>
      <c r="D30" s="224"/>
      <c r="E30" s="224"/>
      <c r="F30" s="247"/>
      <c r="G30" s="13"/>
      <c r="H30" s="53"/>
    </row>
    <row r="31" spans="1:8" ht="18" customHeight="1" x14ac:dyDescent="0.25">
      <c r="A31" s="1"/>
      <c r="B31" s="2"/>
      <c r="C31" s="223"/>
      <c r="D31" s="224"/>
      <c r="E31" s="224"/>
      <c r="F31" s="247"/>
      <c r="G31" s="13"/>
      <c r="H31" s="53"/>
    </row>
    <row r="32" spans="1:8" ht="18" customHeight="1" x14ac:dyDescent="0.25">
      <c r="A32" s="1"/>
      <c r="B32" s="2"/>
      <c r="C32" s="223"/>
      <c r="D32" s="224"/>
      <c r="E32" s="224"/>
      <c r="F32" s="247"/>
      <c r="G32" s="13"/>
      <c r="H32" s="53"/>
    </row>
    <row r="33" spans="1:8" ht="18" customHeight="1" x14ac:dyDescent="0.25">
      <c r="A33" s="1"/>
      <c r="B33" s="2"/>
      <c r="C33" s="223"/>
      <c r="D33" s="224"/>
      <c r="E33" s="224"/>
      <c r="F33" s="247"/>
      <c r="G33" s="13"/>
      <c r="H33" s="53"/>
    </row>
    <row r="34" spans="1:8" ht="18" customHeight="1" x14ac:dyDescent="0.25">
      <c r="A34" s="1"/>
      <c r="B34" s="2"/>
      <c r="C34" s="223"/>
      <c r="D34" s="224"/>
      <c r="E34" s="224"/>
      <c r="F34" s="247"/>
      <c r="G34" s="13"/>
      <c r="H34" s="53"/>
    </row>
    <row r="35" spans="1:8" ht="18" customHeight="1" x14ac:dyDescent="0.25">
      <c r="A35" s="1"/>
      <c r="B35" s="2"/>
      <c r="C35" s="223"/>
      <c r="D35" s="224"/>
      <c r="E35" s="224"/>
      <c r="F35" s="247"/>
      <c r="G35" s="13"/>
      <c r="H35" s="53"/>
    </row>
    <row r="36" spans="1:8" ht="18" customHeight="1" thickBot="1" x14ac:dyDescent="0.3">
      <c r="A36" s="4"/>
      <c r="B36" s="5"/>
      <c r="C36" s="396"/>
      <c r="D36" s="251"/>
      <c r="E36" s="251"/>
      <c r="F36" s="252"/>
      <c r="G36" s="37"/>
      <c r="H36" s="54"/>
    </row>
    <row r="37" spans="1:8" ht="24" customHeight="1" x14ac:dyDescent="0.25">
      <c r="A37" s="289" t="s">
        <v>129</v>
      </c>
      <c r="B37" s="290"/>
      <c r="C37" s="290"/>
      <c r="D37" s="290"/>
      <c r="E37" s="290"/>
      <c r="F37" s="290"/>
      <c r="G37" s="290"/>
      <c r="H37" s="291"/>
    </row>
    <row r="38" spans="1:8" ht="18" customHeight="1" x14ac:dyDescent="0.25">
      <c r="A38" s="41" t="s">
        <v>130</v>
      </c>
      <c r="B38" s="42" t="s">
        <v>60</v>
      </c>
      <c r="C38" s="379" t="s">
        <v>92</v>
      </c>
      <c r="D38" s="381"/>
      <c r="E38" s="381"/>
      <c r="F38" s="380"/>
      <c r="G38" s="42" t="s">
        <v>57</v>
      </c>
      <c r="H38" s="43" t="s">
        <v>131</v>
      </c>
    </row>
    <row r="39" spans="1:8" ht="18" customHeight="1" x14ac:dyDescent="0.25">
      <c r="A39" s="1"/>
      <c r="B39" s="2"/>
      <c r="C39" s="223"/>
      <c r="D39" s="224"/>
      <c r="E39" s="224"/>
      <c r="F39" s="247"/>
      <c r="G39" s="13"/>
      <c r="H39" s="53"/>
    </row>
    <row r="40" spans="1:8" ht="18" customHeight="1" x14ac:dyDescent="0.25">
      <c r="A40" s="1"/>
      <c r="B40" s="2"/>
      <c r="C40" s="223"/>
      <c r="D40" s="224"/>
      <c r="E40" s="224"/>
      <c r="F40" s="247"/>
      <c r="G40" s="13"/>
      <c r="H40" s="53"/>
    </row>
    <row r="41" spans="1:8" ht="18" customHeight="1" x14ac:dyDescent="0.25">
      <c r="A41" s="1"/>
      <c r="B41" s="2"/>
      <c r="C41" s="223"/>
      <c r="D41" s="224"/>
      <c r="E41" s="224"/>
      <c r="F41" s="247"/>
      <c r="G41" s="13"/>
      <c r="H41" s="53"/>
    </row>
    <row r="42" spans="1:8" ht="18" customHeight="1" x14ac:dyDescent="0.25">
      <c r="A42" s="1"/>
      <c r="B42" s="2"/>
      <c r="C42" s="223"/>
      <c r="D42" s="224"/>
      <c r="E42" s="224"/>
      <c r="F42" s="247"/>
      <c r="G42" s="13"/>
      <c r="H42" s="53"/>
    </row>
    <row r="43" spans="1:8" ht="18" customHeight="1" x14ac:dyDescent="0.25">
      <c r="A43" s="1"/>
      <c r="B43" s="2"/>
      <c r="C43" s="223"/>
      <c r="D43" s="224"/>
      <c r="E43" s="224"/>
      <c r="F43" s="247"/>
      <c r="G43" s="13"/>
      <c r="H43" s="53"/>
    </row>
    <row r="44" spans="1:8" ht="18" customHeight="1" x14ac:dyDescent="0.25">
      <c r="A44" s="1"/>
      <c r="B44" s="2"/>
      <c r="C44" s="223"/>
      <c r="D44" s="224"/>
      <c r="E44" s="224"/>
      <c r="F44" s="247"/>
      <c r="G44" s="13"/>
      <c r="H44" s="53"/>
    </row>
    <row r="45" spans="1:8" ht="18" customHeight="1" x14ac:dyDescent="0.25">
      <c r="A45" s="1"/>
      <c r="B45" s="2"/>
      <c r="C45" s="223"/>
      <c r="D45" s="224"/>
      <c r="E45" s="224"/>
      <c r="F45" s="247"/>
      <c r="G45" s="13"/>
      <c r="H45" s="53"/>
    </row>
    <row r="46" spans="1:8" ht="18" customHeight="1" x14ac:dyDescent="0.25">
      <c r="A46" s="1"/>
      <c r="B46" s="2"/>
      <c r="C46" s="223"/>
      <c r="D46" s="224"/>
      <c r="E46" s="224"/>
      <c r="F46" s="247"/>
      <c r="G46" s="13"/>
      <c r="H46" s="53"/>
    </row>
    <row r="47" spans="1:8" ht="18" customHeight="1" x14ac:dyDescent="0.25">
      <c r="A47" s="1"/>
      <c r="B47" s="2"/>
      <c r="C47" s="223"/>
      <c r="D47" s="224"/>
      <c r="E47" s="224"/>
      <c r="F47" s="247"/>
      <c r="G47" s="13"/>
      <c r="H47" s="53"/>
    </row>
    <row r="48" spans="1:8" ht="18" customHeight="1" x14ac:dyDescent="0.25">
      <c r="A48" s="1"/>
      <c r="B48" s="2"/>
      <c r="C48" s="223"/>
      <c r="D48" s="224"/>
      <c r="E48" s="224"/>
      <c r="F48" s="247"/>
      <c r="G48" s="13"/>
      <c r="H48" s="53"/>
    </row>
    <row r="49" spans="1:8" ht="18" customHeight="1" x14ac:dyDescent="0.25">
      <c r="A49" s="1"/>
      <c r="B49" s="2"/>
      <c r="C49" s="223"/>
      <c r="D49" s="224"/>
      <c r="E49" s="224"/>
      <c r="F49" s="247"/>
      <c r="G49" s="13"/>
      <c r="H49" s="53"/>
    </row>
    <row r="50" spans="1:8" ht="18" customHeight="1" x14ac:dyDescent="0.25">
      <c r="A50" s="1"/>
      <c r="B50" s="2"/>
      <c r="C50" s="223"/>
      <c r="D50" s="224"/>
      <c r="E50" s="224"/>
      <c r="F50" s="247"/>
      <c r="G50" s="13"/>
      <c r="H50" s="53"/>
    </row>
    <row r="51" spans="1:8" ht="18" customHeight="1" x14ac:dyDescent="0.25">
      <c r="A51" s="1"/>
      <c r="B51" s="2"/>
      <c r="C51" s="223"/>
      <c r="D51" s="224"/>
      <c r="E51" s="224"/>
      <c r="F51" s="247"/>
      <c r="G51" s="13"/>
      <c r="H51" s="53"/>
    </row>
    <row r="52" spans="1:8" ht="18" customHeight="1" x14ac:dyDescent="0.25">
      <c r="A52" s="1"/>
      <c r="B52" s="2"/>
      <c r="C52" s="223"/>
      <c r="D52" s="224"/>
      <c r="E52" s="224"/>
      <c r="F52" s="247"/>
      <c r="G52" s="13"/>
      <c r="H52" s="53"/>
    </row>
    <row r="53" spans="1:8" ht="18" customHeight="1" x14ac:dyDescent="0.25">
      <c r="A53" s="1"/>
      <c r="B53" s="2"/>
      <c r="C53" s="223"/>
      <c r="D53" s="224"/>
      <c r="E53" s="224"/>
      <c r="F53" s="247"/>
      <c r="G53" s="13"/>
      <c r="H53" s="53"/>
    </row>
    <row r="54" spans="1:8" ht="18" customHeight="1" x14ac:dyDescent="0.25">
      <c r="A54" s="1"/>
      <c r="B54" s="2"/>
      <c r="C54" s="223"/>
      <c r="D54" s="224"/>
      <c r="E54" s="224"/>
      <c r="F54" s="247"/>
      <c r="G54" s="13"/>
      <c r="H54" s="53"/>
    </row>
    <row r="55" spans="1:8" ht="18" customHeight="1" x14ac:dyDescent="0.25">
      <c r="A55" s="1"/>
      <c r="B55" s="2"/>
      <c r="C55" s="223"/>
      <c r="D55" s="224"/>
      <c r="E55" s="224"/>
      <c r="F55" s="247"/>
      <c r="G55" s="13"/>
      <c r="H55" s="53"/>
    </row>
    <row r="56" spans="1:8" ht="18" customHeight="1" x14ac:dyDescent="0.25">
      <c r="A56" s="1"/>
      <c r="B56" s="2"/>
      <c r="C56" s="223"/>
      <c r="D56" s="224"/>
      <c r="E56" s="224"/>
      <c r="F56" s="247"/>
      <c r="G56" s="13"/>
      <c r="H56" s="53"/>
    </row>
    <row r="57" spans="1:8" ht="18" customHeight="1" x14ac:dyDescent="0.25">
      <c r="A57" s="1"/>
      <c r="B57" s="2"/>
      <c r="C57" s="223"/>
      <c r="D57" s="224"/>
      <c r="E57" s="224"/>
      <c r="F57" s="247"/>
      <c r="G57" s="13"/>
      <c r="H57" s="53"/>
    </row>
    <row r="58" spans="1:8" ht="18" customHeight="1" x14ac:dyDescent="0.25">
      <c r="A58" s="1"/>
      <c r="B58" s="2"/>
      <c r="C58" s="223"/>
      <c r="D58" s="224"/>
      <c r="E58" s="224"/>
      <c r="F58" s="247"/>
      <c r="G58" s="13"/>
      <c r="H58" s="53"/>
    </row>
    <row r="59" spans="1:8" ht="18" customHeight="1" x14ac:dyDescent="0.25">
      <c r="A59" s="1"/>
      <c r="B59" s="2"/>
      <c r="C59" s="223"/>
      <c r="D59" s="224"/>
      <c r="E59" s="224"/>
      <c r="F59" s="247"/>
      <c r="G59" s="13"/>
      <c r="H59" s="53"/>
    </row>
    <row r="60" spans="1:8" ht="18" customHeight="1" x14ac:dyDescent="0.25">
      <c r="A60" s="1"/>
      <c r="B60" s="2"/>
      <c r="C60" s="223"/>
      <c r="D60" s="224"/>
      <c r="E60" s="224"/>
      <c r="F60" s="247"/>
      <c r="G60" s="13"/>
      <c r="H60" s="53"/>
    </row>
    <row r="61" spans="1:8" ht="18" customHeight="1" x14ac:dyDescent="0.25">
      <c r="A61" s="1"/>
      <c r="B61" s="2"/>
      <c r="C61" s="223"/>
      <c r="D61" s="224"/>
      <c r="E61" s="224"/>
      <c r="F61" s="247"/>
      <c r="G61" s="13"/>
      <c r="H61" s="53"/>
    </row>
    <row r="62" spans="1:8" ht="18" customHeight="1" x14ac:dyDescent="0.25">
      <c r="A62" s="1"/>
      <c r="B62" s="2"/>
      <c r="C62" s="223"/>
      <c r="D62" s="224"/>
      <c r="E62" s="224"/>
      <c r="F62" s="247"/>
      <c r="G62" s="13"/>
      <c r="H62" s="53"/>
    </row>
    <row r="63" spans="1:8" ht="18" customHeight="1" x14ac:dyDescent="0.25">
      <c r="A63" s="1"/>
      <c r="B63" s="2"/>
      <c r="C63" s="223"/>
      <c r="D63" s="224"/>
      <c r="E63" s="224"/>
      <c r="F63" s="247"/>
      <c r="G63" s="13"/>
      <c r="H63" s="53"/>
    </row>
    <row r="64" spans="1:8" ht="18" customHeight="1" x14ac:dyDescent="0.25">
      <c r="A64" s="1"/>
      <c r="B64" s="2"/>
      <c r="C64" s="223"/>
      <c r="D64" s="224"/>
      <c r="E64" s="224"/>
      <c r="F64" s="247"/>
      <c r="G64" s="13"/>
      <c r="H64" s="53"/>
    </row>
    <row r="65" spans="1:8" ht="18" customHeight="1" x14ac:dyDescent="0.25">
      <c r="A65" s="1"/>
      <c r="B65" s="2"/>
      <c r="C65" s="223"/>
      <c r="D65" s="224"/>
      <c r="E65" s="224"/>
      <c r="F65" s="247"/>
      <c r="G65" s="13"/>
      <c r="H65" s="53"/>
    </row>
    <row r="66" spans="1:8" ht="18" customHeight="1" x14ac:dyDescent="0.25">
      <c r="A66" s="1"/>
      <c r="B66" s="2"/>
      <c r="C66" s="223"/>
      <c r="D66" s="224"/>
      <c r="E66" s="224"/>
      <c r="F66" s="247"/>
      <c r="G66" s="13"/>
      <c r="H66" s="53"/>
    </row>
    <row r="67" spans="1:8" ht="18" customHeight="1" x14ac:dyDescent="0.25">
      <c r="A67" s="1"/>
      <c r="B67" s="2"/>
      <c r="C67" s="223"/>
      <c r="D67" s="224"/>
      <c r="E67" s="224"/>
      <c r="F67" s="247"/>
      <c r="G67" s="13"/>
      <c r="H67" s="53"/>
    </row>
    <row r="68" spans="1:8" ht="18" customHeight="1" x14ac:dyDescent="0.25">
      <c r="A68" s="1"/>
      <c r="B68" s="2"/>
      <c r="C68" s="223"/>
      <c r="D68" s="224"/>
      <c r="E68" s="224"/>
      <c r="F68" s="247"/>
      <c r="G68" s="13"/>
      <c r="H68" s="53"/>
    </row>
    <row r="69" spans="1:8" ht="18" customHeight="1" x14ac:dyDescent="0.25">
      <c r="A69" s="1"/>
      <c r="B69" s="2"/>
      <c r="C69" s="223"/>
      <c r="D69" s="224"/>
      <c r="E69" s="224"/>
      <c r="F69" s="247"/>
      <c r="G69" s="13"/>
      <c r="H69" s="53"/>
    </row>
    <row r="70" spans="1:8" ht="18" customHeight="1" x14ac:dyDescent="0.25">
      <c r="A70" s="1"/>
      <c r="B70" s="2"/>
      <c r="C70" s="223"/>
      <c r="D70" s="224"/>
      <c r="E70" s="224"/>
      <c r="F70" s="247"/>
      <c r="G70" s="13"/>
      <c r="H70" s="53"/>
    </row>
    <row r="71" spans="1:8" ht="18" customHeight="1" x14ac:dyDescent="0.25">
      <c r="A71" s="1"/>
      <c r="B71" s="2"/>
      <c r="C71" s="223"/>
      <c r="D71" s="224"/>
      <c r="E71" s="224"/>
      <c r="F71" s="247"/>
      <c r="G71" s="13"/>
      <c r="H71" s="53"/>
    </row>
    <row r="72" spans="1:8" ht="18" customHeight="1" thickBot="1" x14ac:dyDescent="0.3">
      <c r="A72" s="4"/>
      <c r="B72" s="5"/>
      <c r="C72" s="396"/>
      <c r="D72" s="251"/>
      <c r="E72" s="251"/>
      <c r="F72" s="252"/>
      <c r="G72" s="37"/>
      <c r="H72" s="54"/>
    </row>
    <row r="73" spans="1:8" ht="24" customHeight="1" x14ac:dyDescent="0.25">
      <c r="A73" s="289" t="s">
        <v>129</v>
      </c>
      <c r="B73" s="290"/>
      <c r="C73" s="290"/>
      <c r="D73" s="290"/>
      <c r="E73" s="290"/>
      <c r="F73" s="290"/>
      <c r="G73" s="290"/>
      <c r="H73" s="291"/>
    </row>
    <row r="74" spans="1:8" ht="18" customHeight="1" x14ac:dyDescent="0.25">
      <c r="A74" s="41" t="s">
        <v>130</v>
      </c>
      <c r="B74" s="42" t="s">
        <v>60</v>
      </c>
      <c r="C74" s="379" t="s">
        <v>92</v>
      </c>
      <c r="D74" s="381"/>
      <c r="E74" s="381"/>
      <c r="F74" s="380"/>
      <c r="G74" s="42" t="s">
        <v>57</v>
      </c>
      <c r="H74" s="43" t="s">
        <v>131</v>
      </c>
    </row>
    <row r="75" spans="1:8" ht="18" customHeight="1" x14ac:dyDescent="0.25">
      <c r="A75" s="1"/>
      <c r="B75" s="2"/>
      <c r="C75" s="223"/>
      <c r="D75" s="224"/>
      <c r="E75" s="224"/>
      <c r="F75" s="247"/>
      <c r="G75" s="13"/>
      <c r="H75" s="53"/>
    </row>
    <row r="76" spans="1:8" ht="18" customHeight="1" x14ac:dyDescent="0.25">
      <c r="A76" s="1"/>
      <c r="B76" s="2"/>
      <c r="C76" s="223"/>
      <c r="D76" s="224"/>
      <c r="E76" s="224"/>
      <c r="F76" s="247"/>
      <c r="G76" s="13"/>
      <c r="H76" s="53"/>
    </row>
    <row r="77" spans="1:8" ht="18" customHeight="1" x14ac:dyDescent="0.25">
      <c r="A77" s="1"/>
      <c r="B77" s="2"/>
      <c r="C77" s="223"/>
      <c r="D77" s="224"/>
      <c r="E77" s="224"/>
      <c r="F77" s="247"/>
      <c r="G77" s="13"/>
      <c r="H77" s="53"/>
    </row>
    <row r="78" spans="1:8" ht="18" customHeight="1" x14ac:dyDescent="0.25">
      <c r="A78" s="1"/>
      <c r="B78" s="2"/>
      <c r="C78" s="223"/>
      <c r="D78" s="224"/>
      <c r="E78" s="224"/>
      <c r="F78" s="247"/>
      <c r="G78" s="13"/>
      <c r="H78" s="53"/>
    </row>
    <row r="79" spans="1:8" ht="18" customHeight="1" x14ac:dyDescent="0.25">
      <c r="A79" s="1"/>
      <c r="B79" s="2"/>
      <c r="C79" s="223"/>
      <c r="D79" s="224"/>
      <c r="E79" s="224"/>
      <c r="F79" s="247"/>
      <c r="G79" s="13"/>
      <c r="H79" s="53"/>
    </row>
    <row r="80" spans="1:8" ht="18" customHeight="1" x14ac:dyDescent="0.25">
      <c r="A80" s="1"/>
      <c r="B80" s="2"/>
      <c r="C80" s="223"/>
      <c r="D80" s="224"/>
      <c r="E80" s="224"/>
      <c r="F80" s="247"/>
      <c r="G80" s="13"/>
      <c r="H80" s="53"/>
    </row>
    <row r="81" spans="1:8" ht="18" customHeight="1" x14ac:dyDescent="0.25">
      <c r="A81" s="1"/>
      <c r="B81" s="2"/>
      <c r="C81" s="223"/>
      <c r="D81" s="224"/>
      <c r="E81" s="224"/>
      <c r="F81" s="247"/>
      <c r="G81" s="13"/>
      <c r="H81" s="53"/>
    </row>
    <row r="82" spans="1:8" ht="18" customHeight="1" x14ac:dyDescent="0.25">
      <c r="A82" s="1"/>
      <c r="B82" s="2"/>
      <c r="C82" s="223"/>
      <c r="D82" s="224"/>
      <c r="E82" s="224"/>
      <c r="F82" s="247"/>
      <c r="G82" s="13"/>
      <c r="H82" s="53"/>
    </row>
    <row r="83" spans="1:8" ht="18" customHeight="1" x14ac:dyDescent="0.25">
      <c r="A83" s="1"/>
      <c r="B83" s="2"/>
      <c r="C83" s="223"/>
      <c r="D83" s="224"/>
      <c r="E83" s="224"/>
      <c r="F83" s="247"/>
      <c r="G83" s="13"/>
      <c r="H83" s="53"/>
    </row>
    <row r="84" spans="1:8" ht="18" customHeight="1" x14ac:dyDescent="0.25">
      <c r="A84" s="1"/>
      <c r="B84" s="2"/>
      <c r="C84" s="223"/>
      <c r="D84" s="224"/>
      <c r="E84" s="224"/>
      <c r="F84" s="247"/>
      <c r="G84" s="13"/>
      <c r="H84" s="53"/>
    </row>
    <row r="85" spans="1:8" ht="18" customHeight="1" x14ac:dyDescent="0.25">
      <c r="A85" s="1"/>
      <c r="B85" s="2"/>
      <c r="C85" s="223"/>
      <c r="D85" s="224"/>
      <c r="E85" s="224"/>
      <c r="F85" s="247"/>
      <c r="G85" s="13"/>
      <c r="H85" s="53"/>
    </row>
    <row r="86" spans="1:8" ht="18" customHeight="1" x14ac:dyDescent="0.25">
      <c r="A86" s="1"/>
      <c r="B86" s="2"/>
      <c r="C86" s="223"/>
      <c r="D86" s="224"/>
      <c r="E86" s="224"/>
      <c r="F86" s="247"/>
      <c r="G86" s="13"/>
      <c r="H86" s="53"/>
    </row>
    <row r="87" spans="1:8" ht="18" customHeight="1" x14ac:dyDescent="0.25">
      <c r="A87" s="1"/>
      <c r="B87" s="2"/>
      <c r="C87" s="223"/>
      <c r="D87" s="224"/>
      <c r="E87" s="224"/>
      <c r="F87" s="247"/>
      <c r="G87" s="13"/>
      <c r="H87" s="53"/>
    </row>
    <row r="88" spans="1:8" ht="18" customHeight="1" x14ac:dyDescent="0.25">
      <c r="A88" s="1"/>
      <c r="B88" s="2"/>
      <c r="C88" s="223"/>
      <c r="D88" s="224"/>
      <c r="E88" s="224"/>
      <c r="F88" s="247"/>
      <c r="G88" s="13"/>
      <c r="H88" s="53"/>
    </row>
    <row r="89" spans="1:8" ht="18" customHeight="1" x14ac:dyDescent="0.25">
      <c r="A89" s="1"/>
      <c r="B89" s="2"/>
      <c r="C89" s="223"/>
      <c r="D89" s="224"/>
      <c r="E89" s="224"/>
      <c r="F89" s="247"/>
      <c r="G89" s="13"/>
      <c r="H89" s="53"/>
    </row>
    <row r="90" spans="1:8" ht="18" customHeight="1" x14ac:dyDescent="0.25">
      <c r="A90" s="1"/>
      <c r="B90" s="2"/>
      <c r="C90" s="223"/>
      <c r="D90" s="224"/>
      <c r="E90" s="224"/>
      <c r="F90" s="247"/>
      <c r="G90" s="13"/>
      <c r="H90" s="53"/>
    </row>
    <row r="91" spans="1:8" ht="18" customHeight="1" x14ac:dyDescent="0.25">
      <c r="A91" s="1"/>
      <c r="B91" s="2"/>
      <c r="C91" s="223"/>
      <c r="D91" s="224"/>
      <c r="E91" s="224"/>
      <c r="F91" s="247"/>
      <c r="G91" s="13"/>
      <c r="H91" s="53"/>
    </row>
    <row r="92" spans="1:8" ht="18" customHeight="1" x14ac:dyDescent="0.25">
      <c r="A92" s="1"/>
      <c r="B92" s="2"/>
      <c r="C92" s="223"/>
      <c r="D92" s="224"/>
      <c r="E92" s="224"/>
      <c r="F92" s="247"/>
      <c r="G92" s="13"/>
      <c r="H92" s="53"/>
    </row>
    <row r="93" spans="1:8" ht="18" customHeight="1" x14ac:dyDescent="0.25">
      <c r="A93" s="1"/>
      <c r="B93" s="2"/>
      <c r="C93" s="223"/>
      <c r="D93" s="224"/>
      <c r="E93" s="224"/>
      <c r="F93" s="247"/>
      <c r="G93" s="13"/>
      <c r="H93" s="53"/>
    </row>
    <row r="94" spans="1:8" ht="18" customHeight="1" x14ac:dyDescent="0.25">
      <c r="A94" s="1"/>
      <c r="B94" s="2"/>
      <c r="C94" s="223"/>
      <c r="D94" s="224"/>
      <c r="E94" s="224"/>
      <c r="F94" s="247"/>
      <c r="G94" s="13"/>
      <c r="H94" s="53"/>
    </row>
    <row r="95" spans="1:8" ht="18" customHeight="1" x14ac:dyDescent="0.25">
      <c r="A95" s="1"/>
      <c r="B95" s="2"/>
      <c r="C95" s="223"/>
      <c r="D95" s="224"/>
      <c r="E95" s="224"/>
      <c r="F95" s="247"/>
      <c r="G95" s="13"/>
      <c r="H95" s="53"/>
    </row>
    <row r="96" spans="1:8" ht="18" customHeight="1" x14ac:dyDescent="0.25">
      <c r="A96" s="1"/>
      <c r="B96" s="2"/>
      <c r="C96" s="223"/>
      <c r="D96" s="224"/>
      <c r="E96" s="224"/>
      <c r="F96" s="247"/>
      <c r="G96" s="13"/>
      <c r="H96" s="53"/>
    </row>
    <row r="97" spans="1:8" ht="18" customHeight="1" x14ac:dyDescent="0.25">
      <c r="A97" s="1"/>
      <c r="B97" s="2"/>
      <c r="C97" s="223"/>
      <c r="D97" s="224"/>
      <c r="E97" s="224"/>
      <c r="F97" s="247"/>
      <c r="G97" s="13"/>
      <c r="H97" s="53"/>
    </row>
    <row r="98" spans="1:8" ht="18" customHeight="1" x14ac:dyDescent="0.25">
      <c r="A98" s="1"/>
      <c r="B98" s="2"/>
      <c r="C98" s="223"/>
      <c r="D98" s="224"/>
      <c r="E98" s="224"/>
      <c r="F98" s="247"/>
      <c r="G98" s="13"/>
      <c r="H98" s="53"/>
    </row>
    <row r="99" spans="1:8" ht="18" customHeight="1" x14ac:dyDescent="0.25">
      <c r="A99" s="1"/>
      <c r="B99" s="2"/>
      <c r="C99" s="223"/>
      <c r="D99" s="224"/>
      <c r="E99" s="224"/>
      <c r="F99" s="247"/>
      <c r="G99" s="13"/>
      <c r="H99" s="53"/>
    </row>
    <row r="100" spans="1:8" ht="18" customHeight="1" x14ac:dyDescent="0.25">
      <c r="A100" s="1"/>
      <c r="B100" s="2"/>
      <c r="C100" s="223"/>
      <c r="D100" s="224"/>
      <c r="E100" s="224"/>
      <c r="F100" s="247"/>
      <c r="G100" s="13"/>
      <c r="H100" s="53"/>
    </row>
    <row r="101" spans="1:8" ht="18" customHeight="1" x14ac:dyDescent="0.25">
      <c r="A101" s="1"/>
      <c r="B101" s="2"/>
      <c r="C101" s="223"/>
      <c r="D101" s="224"/>
      <c r="E101" s="224"/>
      <c r="F101" s="247"/>
      <c r="G101" s="13"/>
      <c r="H101" s="53"/>
    </row>
    <row r="102" spans="1:8" ht="18" customHeight="1" x14ac:dyDescent="0.25">
      <c r="A102" s="1"/>
      <c r="B102" s="2"/>
      <c r="C102" s="223"/>
      <c r="D102" s="224"/>
      <c r="E102" s="224"/>
      <c r="F102" s="247"/>
      <c r="G102" s="13"/>
      <c r="H102" s="53"/>
    </row>
    <row r="103" spans="1:8" ht="18" customHeight="1" x14ac:dyDescent="0.25">
      <c r="A103" s="1"/>
      <c r="B103" s="2"/>
      <c r="C103" s="223"/>
      <c r="D103" s="224"/>
      <c r="E103" s="224"/>
      <c r="F103" s="247"/>
      <c r="G103" s="13"/>
      <c r="H103" s="53"/>
    </row>
    <row r="104" spans="1:8" ht="18" customHeight="1" x14ac:dyDescent="0.25">
      <c r="A104" s="1"/>
      <c r="B104" s="2"/>
      <c r="C104" s="223"/>
      <c r="D104" s="224"/>
      <c r="E104" s="224"/>
      <c r="F104" s="247"/>
      <c r="G104" s="13"/>
      <c r="H104" s="53"/>
    </row>
    <row r="105" spans="1:8" ht="18" customHeight="1" x14ac:dyDescent="0.25">
      <c r="A105" s="1"/>
      <c r="B105" s="2"/>
      <c r="C105" s="223"/>
      <c r="D105" s="224"/>
      <c r="E105" s="224"/>
      <c r="F105" s="247"/>
      <c r="G105" s="13"/>
      <c r="H105" s="53"/>
    </row>
    <row r="106" spans="1:8" ht="18" customHeight="1" x14ac:dyDescent="0.25">
      <c r="A106" s="1"/>
      <c r="B106" s="2"/>
      <c r="C106" s="223"/>
      <c r="D106" s="224"/>
      <c r="E106" s="224"/>
      <c r="F106" s="247"/>
      <c r="G106" s="13"/>
      <c r="H106" s="53"/>
    </row>
    <row r="107" spans="1:8" ht="18" customHeight="1" x14ac:dyDescent="0.25">
      <c r="A107" s="1"/>
      <c r="B107" s="2"/>
      <c r="C107" s="223"/>
      <c r="D107" s="224"/>
      <c r="E107" s="224"/>
      <c r="F107" s="247"/>
      <c r="G107" s="13"/>
      <c r="H107" s="53"/>
    </row>
    <row r="108" spans="1:8" ht="18" customHeight="1" thickBot="1" x14ac:dyDescent="0.3">
      <c r="A108" s="4"/>
      <c r="B108" s="5"/>
      <c r="C108" s="396"/>
      <c r="D108" s="251"/>
      <c r="E108" s="251"/>
      <c r="F108" s="252"/>
      <c r="G108" s="37"/>
      <c r="H108" s="54"/>
    </row>
    <row r="109" spans="1:8" ht="24" customHeight="1" x14ac:dyDescent="0.25">
      <c r="A109" s="289" t="s">
        <v>129</v>
      </c>
      <c r="B109" s="290"/>
      <c r="C109" s="290"/>
      <c r="D109" s="290"/>
      <c r="E109" s="290"/>
      <c r="F109" s="290"/>
      <c r="G109" s="290"/>
      <c r="H109" s="291"/>
    </row>
    <row r="110" spans="1:8" ht="18" customHeight="1" x14ac:dyDescent="0.25">
      <c r="A110" s="41" t="s">
        <v>130</v>
      </c>
      <c r="B110" s="42" t="s">
        <v>60</v>
      </c>
      <c r="C110" s="379" t="s">
        <v>92</v>
      </c>
      <c r="D110" s="381"/>
      <c r="E110" s="381"/>
      <c r="F110" s="380"/>
      <c r="G110" s="42" t="s">
        <v>57</v>
      </c>
      <c r="H110" s="43" t="s">
        <v>131</v>
      </c>
    </row>
    <row r="111" spans="1:8" ht="18" customHeight="1" x14ac:dyDescent="0.25">
      <c r="A111" s="1"/>
      <c r="B111" s="2"/>
      <c r="C111" s="223"/>
      <c r="D111" s="224"/>
      <c r="E111" s="224"/>
      <c r="F111" s="247"/>
      <c r="G111" s="13"/>
      <c r="H111" s="53"/>
    </row>
    <row r="112" spans="1:8" ht="18" customHeight="1" x14ac:dyDescent="0.25">
      <c r="A112" s="1"/>
      <c r="B112" s="2"/>
      <c r="C112" s="223"/>
      <c r="D112" s="224"/>
      <c r="E112" s="224"/>
      <c r="F112" s="247"/>
      <c r="G112" s="13"/>
      <c r="H112" s="53"/>
    </row>
    <row r="113" spans="1:8" ht="18" customHeight="1" x14ac:dyDescent="0.25">
      <c r="A113" s="1"/>
      <c r="B113" s="2"/>
      <c r="C113" s="223"/>
      <c r="D113" s="224"/>
      <c r="E113" s="224"/>
      <c r="F113" s="247"/>
      <c r="G113" s="13"/>
      <c r="H113" s="53"/>
    </row>
    <row r="114" spans="1:8" ht="18" customHeight="1" x14ac:dyDescent="0.25">
      <c r="A114" s="1"/>
      <c r="B114" s="2"/>
      <c r="C114" s="223"/>
      <c r="D114" s="224"/>
      <c r="E114" s="224"/>
      <c r="F114" s="247"/>
      <c r="G114" s="13"/>
      <c r="H114" s="53"/>
    </row>
    <row r="115" spans="1:8" ht="18" customHeight="1" x14ac:dyDescent="0.25">
      <c r="A115" s="1"/>
      <c r="B115" s="2"/>
      <c r="C115" s="223"/>
      <c r="D115" s="224"/>
      <c r="E115" s="224"/>
      <c r="F115" s="247"/>
      <c r="G115" s="13"/>
      <c r="H115" s="53"/>
    </row>
    <row r="116" spans="1:8" ht="18" customHeight="1" x14ac:dyDescent="0.25">
      <c r="A116" s="1"/>
      <c r="B116" s="2"/>
      <c r="C116" s="223"/>
      <c r="D116" s="224"/>
      <c r="E116" s="224"/>
      <c r="F116" s="247"/>
      <c r="G116" s="13"/>
      <c r="H116" s="53"/>
    </row>
    <row r="117" spans="1:8" ht="18" customHeight="1" x14ac:dyDescent="0.25">
      <c r="A117" s="1"/>
      <c r="B117" s="2"/>
      <c r="C117" s="223"/>
      <c r="D117" s="224"/>
      <c r="E117" s="224"/>
      <c r="F117" s="247"/>
      <c r="G117" s="13"/>
      <c r="H117" s="53"/>
    </row>
    <row r="118" spans="1:8" ht="18" customHeight="1" x14ac:dyDescent="0.25">
      <c r="A118" s="1"/>
      <c r="B118" s="2"/>
      <c r="C118" s="223"/>
      <c r="D118" s="224"/>
      <c r="E118" s="224"/>
      <c r="F118" s="247"/>
      <c r="G118" s="13"/>
      <c r="H118" s="53"/>
    </row>
    <row r="119" spans="1:8" ht="18" customHeight="1" x14ac:dyDescent="0.25">
      <c r="A119" s="1"/>
      <c r="B119" s="2"/>
      <c r="C119" s="223"/>
      <c r="D119" s="224"/>
      <c r="E119" s="224"/>
      <c r="F119" s="247"/>
      <c r="G119" s="13"/>
      <c r="H119" s="53"/>
    </row>
    <row r="120" spans="1:8" ht="18" customHeight="1" x14ac:dyDescent="0.25">
      <c r="A120" s="1"/>
      <c r="B120" s="2"/>
      <c r="C120" s="223"/>
      <c r="D120" s="224"/>
      <c r="E120" s="224"/>
      <c r="F120" s="247"/>
      <c r="G120" s="13"/>
      <c r="H120" s="53"/>
    </row>
    <row r="121" spans="1:8" ht="18" customHeight="1" x14ac:dyDescent="0.25">
      <c r="A121" s="1"/>
      <c r="B121" s="2"/>
      <c r="C121" s="223"/>
      <c r="D121" s="224"/>
      <c r="E121" s="224"/>
      <c r="F121" s="247"/>
      <c r="G121" s="13"/>
      <c r="H121" s="53"/>
    </row>
    <row r="122" spans="1:8" ht="18" customHeight="1" x14ac:dyDescent="0.25">
      <c r="A122" s="1"/>
      <c r="B122" s="2"/>
      <c r="C122" s="223"/>
      <c r="D122" s="224"/>
      <c r="E122" s="224"/>
      <c r="F122" s="247"/>
      <c r="G122" s="13"/>
      <c r="H122" s="53"/>
    </row>
    <row r="123" spans="1:8" ht="18" customHeight="1" x14ac:dyDescent="0.25">
      <c r="A123" s="1"/>
      <c r="B123" s="2"/>
      <c r="C123" s="223"/>
      <c r="D123" s="224"/>
      <c r="E123" s="224"/>
      <c r="F123" s="247"/>
      <c r="G123" s="13"/>
      <c r="H123" s="53"/>
    </row>
    <row r="124" spans="1:8" ht="18" customHeight="1" x14ac:dyDescent="0.25">
      <c r="A124" s="1"/>
      <c r="B124" s="2"/>
      <c r="C124" s="223"/>
      <c r="D124" s="224"/>
      <c r="E124" s="224"/>
      <c r="F124" s="247"/>
      <c r="G124" s="13"/>
      <c r="H124" s="53"/>
    </row>
    <row r="125" spans="1:8" ht="18" customHeight="1" x14ac:dyDescent="0.25">
      <c r="A125" s="1"/>
      <c r="B125" s="2"/>
      <c r="C125" s="223"/>
      <c r="D125" s="224"/>
      <c r="E125" s="224"/>
      <c r="F125" s="247"/>
      <c r="G125" s="13"/>
      <c r="H125" s="53"/>
    </row>
    <row r="126" spans="1:8" ht="18" customHeight="1" x14ac:dyDescent="0.25">
      <c r="A126" s="1"/>
      <c r="B126" s="2"/>
      <c r="C126" s="223"/>
      <c r="D126" s="224"/>
      <c r="E126" s="224"/>
      <c r="F126" s="247"/>
      <c r="G126" s="13"/>
      <c r="H126" s="53"/>
    </row>
    <row r="127" spans="1:8" ht="18" customHeight="1" x14ac:dyDescent="0.25">
      <c r="A127" s="1"/>
      <c r="B127" s="2"/>
      <c r="C127" s="223"/>
      <c r="D127" s="224"/>
      <c r="E127" s="224"/>
      <c r="F127" s="247"/>
      <c r="G127" s="13"/>
      <c r="H127" s="53"/>
    </row>
    <row r="128" spans="1:8" ht="18" customHeight="1" x14ac:dyDescent="0.25">
      <c r="A128" s="1"/>
      <c r="B128" s="2"/>
      <c r="C128" s="223"/>
      <c r="D128" s="224"/>
      <c r="E128" s="224"/>
      <c r="F128" s="247"/>
      <c r="G128" s="13"/>
      <c r="H128" s="53"/>
    </row>
    <row r="129" spans="1:8" ht="18" customHeight="1" x14ac:dyDescent="0.25">
      <c r="A129" s="1"/>
      <c r="B129" s="2"/>
      <c r="C129" s="223"/>
      <c r="D129" s="224"/>
      <c r="E129" s="224"/>
      <c r="F129" s="247"/>
      <c r="G129" s="13"/>
      <c r="H129" s="53"/>
    </row>
    <row r="130" spans="1:8" ht="18" customHeight="1" x14ac:dyDescent="0.25">
      <c r="A130" s="1"/>
      <c r="B130" s="2"/>
      <c r="C130" s="223"/>
      <c r="D130" s="224"/>
      <c r="E130" s="224"/>
      <c r="F130" s="247"/>
      <c r="G130" s="13"/>
      <c r="H130" s="53"/>
    </row>
    <row r="131" spans="1:8" ht="18" customHeight="1" x14ac:dyDescent="0.25">
      <c r="A131" s="1"/>
      <c r="B131" s="2"/>
      <c r="C131" s="223"/>
      <c r="D131" s="224"/>
      <c r="E131" s="224"/>
      <c r="F131" s="247"/>
      <c r="G131" s="13"/>
      <c r="H131" s="53"/>
    </row>
    <row r="132" spans="1:8" ht="18" customHeight="1" x14ac:dyDescent="0.25">
      <c r="A132" s="1"/>
      <c r="B132" s="2"/>
      <c r="C132" s="223"/>
      <c r="D132" s="224"/>
      <c r="E132" s="224"/>
      <c r="F132" s="247"/>
      <c r="G132" s="13"/>
      <c r="H132" s="53"/>
    </row>
    <row r="133" spans="1:8" ht="18" customHeight="1" x14ac:dyDescent="0.25">
      <c r="A133" s="1"/>
      <c r="B133" s="2"/>
      <c r="C133" s="223"/>
      <c r="D133" s="224"/>
      <c r="E133" s="224"/>
      <c r="F133" s="247"/>
      <c r="G133" s="13"/>
      <c r="H133" s="53"/>
    </row>
    <row r="134" spans="1:8" ht="18" customHeight="1" x14ac:dyDescent="0.25">
      <c r="A134" s="1"/>
      <c r="B134" s="2"/>
      <c r="C134" s="223"/>
      <c r="D134" s="224"/>
      <c r="E134" s="224"/>
      <c r="F134" s="247"/>
      <c r="G134" s="13"/>
      <c r="H134" s="53"/>
    </row>
    <row r="135" spans="1:8" ht="18" customHeight="1" x14ac:dyDescent="0.25">
      <c r="A135" s="1"/>
      <c r="B135" s="2"/>
      <c r="C135" s="223"/>
      <c r="D135" s="224"/>
      <c r="E135" s="224"/>
      <c r="F135" s="247"/>
      <c r="G135" s="13"/>
      <c r="H135" s="53"/>
    </row>
    <row r="136" spans="1:8" ht="18" customHeight="1" x14ac:dyDescent="0.25">
      <c r="A136" s="1"/>
      <c r="B136" s="2"/>
      <c r="C136" s="223"/>
      <c r="D136" s="224"/>
      <c r="E136" s="224"/>
      <c r="F136" s="247"/>
      <c r="G136" s="13"/>
      <c r="H136" s="53"/>
    </row>
    <row r="137" spans="1:8" ht="18" customHeight="1" x14ac:dyDescent="0.25">
      <c r="A137" s="1"/>
      <c r="B137" s="2"/>
      <c r="C137" s="223"/>
      <c r="D137" s="224"/>
      <c r="E137" s="224"/>
      <c r="F137" s="247"/>
      <c r="G137" s="13"/>
      <c r="H137" s="53"/>
    </row>
    <row r="138" spans="1:8" ht="18" customHeight="1" x14ac:dyDescent="0.25">
      <c r="A138" s="1"/>
      <c r="B138" s="2"/>
      <c r="C138" s="223"/>
      <c r="D138" s="224"/>
      <c r="E138" s="224"/>
      <c r="F138" s="247"/>
      <c r="G138" s="13"/>
      <c r="H138" s="53"/>
    </row>
    <row r="139" spans="1:8" ht="18" customHeight="1" x14ac:dyDescent="0.25">
      <c r="A139" s="1"/>
      <c r="B139" s="2"/>
      <c r="C139" s="223"/>
      <c r="D139" s="224"/>
      <c r="E139" s="224"/>
      <c r="F139" s="247"/>
      <c r="G139" s="13"/>
      <c r="H139" s="53"/>
    </row>
    <row r="140" spans="1:8" ht="18" customHeight="1" x14ac:dyDescent="0.25">
      <c r="A140" s="1"/>
      <c r="B140" s="2"/>
      <c r="C140" s="223"/>
      <c r="D140" s="224"/>
      <c r="E140" s="224"/>
      <c r="F140" s="247"/>
      <c r="G140" s="13"/>
      <c r="H140" s="53"/>
    </row>
    <row r="141" spans="1:8" ht="18" customHeight="1" x14ac:dyDescent="0.25">
      <c r="A141" s="1"/>
      <c r="B141" s="2"/>
      <c r="C141" s="223"/>
      <c r="D141" s="224"/>
      <c r="E141" s="224"/>
      <c r="F141" s="247"/>
      <c r="G141" s="13"/>
      <c r="H141" s="53"/>
    </row>
    <row r="142" spans="1:8" ht="18" customHeight="1" x14ac:dyDescent="0.25">
      <c r="A142" s="1"/>
      <c r="B142" s="2"/>
      <c r="C142" s="223"/>
      <c r="D142" s="224"/>
      <c r="E142" s="224"/>
      <c r="F142" s="247"/>
      <c r="G142" s="13"/>
      <c r="H142" s="53"/>
    </row>
    <row r="143" spans="1:8" ht="18" customHeight="1" x14ac:dyDescent="0.25">
      <c r="A143" s="1"/>
      <c r="B143" s="2"/>
      <c r="C143" s="223"/>
      <c r="D143" s="224"/>
      <c r="E143" s="224"/>
      <c r="F143" s="247"/>
      <c r="G143" s="13"/>
      <c r="H143" s="53"/>
    </row>
    <row r="144" spans="1:8" ht="18" customHeight="1" thickBot="1" x14ac:dyDescent="0.3">
      <c r="A144" s="4"/>
      <c r="B144" s="5"/>
      <c r="C144" s="396"/>
      <c r="D144" s="251"/>
      <c r="E144" s="251"/>
      <c r="F144" s="252"/>
      <c r="G144" s="37"/>
      <c r="H144" s="54"/>
    </row>
    <row r="145" spans="1:8" ht="24" customHeight="1" x14ac:dyDescent="0.25">
      <c r="A145" s="289" t="s">
        <v>129</v>
      </c>
      <c r="B145" s="290"/>
      <c r="C145" s="290"/>
      <c r="D145" s="290"/>
      <c r="E145" s="290"/>
      <c r="F145" s="290"/>
      <c r="G145" s="290"/>
      <c r="H145" s="291"/>
    </row>
    <row r="146" spans="1:8" ht="18" customHeight="1" x14ac:dyDescent="0.25">
      <c r="A146" s="41" t="s">
        <v>130</v>
      </c>
      <c r="B146" s="42" t="s">
        <v>60</v>
      </c>
      <c r="C146" s="379" t="s">
        <v>92</v>
      </c>
      <c r="D146" s="381"/>
      <c r="E146" s="381"/>
      <c r="F146" s="380"/>
      <c r="G146" s="42" t="s">
        <v>57</v>
      </c>
      <c r="H146" s="43" t="s">
        <v>131</v>
      </c>
    </row>
    <row r="147" spans="1:8" ht="18" customHeight="1" x14ac:dyDescent="0.25">
      <c r="A147" s="1"/>
      <c r="B147" s="2"/>
      <c r="C147" s="223"/>
      <c r="D147" s="224"/>
      <c r="E147" s="224"/>
      <c r="F147" s="247"/>
      <c r="G147" s="13"/>
      <c r="H147" s="53"/>
    </row>
    <row r="148" spans="1:8" ht="18" customHeight="1" x14ac:dyDescent="0.25">
      <c r="A148" s="1"/>
      <c r="B148" s="2"/>
      <c r="C148" s="223"/>
      <c r="D148" s="224"/>
      <c r="E148" s="224"/>
      <c r="F148" s="247"/>
      <c r="G148" s="13"/>
      <c r="H148" s="53"/>
    </row>
    <row r="149" spans="1:8" ht="18" customHeight="1" x14ac:dyDescent="0.25">
      <c r="A149" s="1"/>
      <c r="B149" s="2"/>
      <c r="C149" s="223"/>
      <c r="D149" s="224"/>
      <c r="E149" s="224"/>
      <c r="F149" s="247"/>
      <c r="G149" s="13"/>
      <c r="H149" s="53"/>
    </row>
    <row r="150" spans="1:8" ht="18" customHeight="1" x14ac:dyDescent="0.25">
      <c r="A150" s="1"/>
      <c r="B150" s="2"/>
      <c r="C150" s="223"/>
      <c r="D150" s="224"/>
      <c r="E150" s="224"/>
      <c r="F150" s="247"/>
      <c r="G150" s="13"/>
      <c r="H150" s="53"/>
    </row>
    <row r="151" spans="1:8" ht="18" customHeight="1" x14ac:dyDescent="0.25">
      <c r="A151" s="1"/>
      <c r="B151" s="2"/>
      <c r="C151" s="223"/>
      <c r="D151" s="224"/>
      <c r="E151" s="224"/>
      <c r="F151" s="247"/>
      <c r="G151" s="13"/>
      <c r="H151" s="53"/>
    </row>
    <row r="152" spans="1:8" ht="18" customHeight="1" x14ac:dyDescent="0.25">
      <c r="A152" s="1"/>
      <c r="B152" s="2"/>
      <c r="C152" s="223"/>
      <c r="D152" s="224"/>
      <c r="E152" s="224"/>
      <c r="F152" s="247"/>
      <c r="G152" s="13"/>
      <c r="H152" s="53"/>
    </row>
    <row r="153" spans="1:8" ht="18" customHeight="1" x14ac:dyDescent="0.25">
      <c r="A153" s="1"/>
      <c r="B153" s="2"/>
      <c r="C153" s="223"/>
      <c r="D153" s="224"/>
      <c r="E153" s="224"/>
      <c r="F153" s="247"/>
      <c r="G153" s="13"/>
      <c r="H153" s="53"/>
    </row>
    <row r="154" spans="1:8" ht="18" customHeight="1" x14ac:dyDescent="0.25">
      <c r="A154" s="1"/>
      <c r="B154" s="2"/>
      <c r="C154" s="223"/>
      <c r="D154" s="224"/>
      <c r="E154" s="224"/>
      <c r="F154" s="247"/>
      <c r="G154" s="13"/>
      <c r="H154" s="53"/>
    </row>
    <row r="155" spans="1:8" ht="18" customHeight="1" x14ac:dyDescent="0.25">
      <c r="A155" s="1"/>
      <c r="B155" s="2"/>
      <c r="C155" s="223"/>
      <c r="D155" s="224"/>
      <c r="E155" s="224"/>
      <c r="F155" s="247"/>
      <c r="G155" s="13"/>
      <c r="H155" s="53"/>
    </row>
    <row r="156" spans="1:8" ht="18" customHeight="1" x14ac:dyDescent="0.25">
      <c r="A156" s="1"/>
      <c r="B156" s="2"/>
      <c r="C156" s="223"/>
      <c r="D156" s="224"/>
      <c r="E156" s="224"/>
      <c r="F156" s="247"/>
      <c r="G156" s="13"/>
      <c r="H156" s="53"/>
    </row>
    <row r="157" spans="1:8" ht="18" customHeight="1" x14ac:dyDescent="0.25">
      <c r="A157" s="1"/>
      <c r="B157" s="2"/>
      <c r="C157" s="223"/>
      <c r="D157" s="224"/>
      <c r="E157" s="224"/>
      <c r="F157" s="247"/>
      <c r="G157" s="13"/>
      <c r="H157" s="53"/>
    </row>
    <row r="158" spans="1:8" ht="18" customHeight="1" x14ac:dyDescent="0.25">
      <c r="A158" s="1"/>
      <c r="B158" s="2"/>
      <c r="C158" s="223"/>
      <c r="D158" s="224"/>
      <c r="E158" s="224"/>
      <c r="F158" s="247"/>
      <c r="G158" s="13"/>
      <c r="H158" s="53"/>
    </row>
    <row r="159" spans="1:8" ht="18" customHeight="1" x14ac:dyDescent="0.25">
      <c r="A159" s="1"/>
      <c r="B159" s="2"/>
      <c r="C159" s="223"/>
      <c r="D159" s="224"/>
      <c r="E159" s="224"/>
      <c r="F159" s="247"/>
      <c r="G159" s="13"/>
      <c r="H159" s="53"/>
    </row>
    <row r="160" spans="1:8" ht="18" customHeight="1" x14ac:dyDescent="0.25">
      <c r="A160" s="1"/>
      <c r="B160" s="2"/>
      <c r="C160" s="223"/>
      <c r="D160" s="224"/>
      <c r="E160" s="224"/>
      <c r="F160" s="247"/>
      <c r="G160" s="13"/>
      <c r="H160" s="53"/>
    </row>
    <row r="161" spans="1:8" ht="18" customHeight="1" x14ac:dyDescent="0.25">
      <c r="A161" s="1"/>
      <c r="B161" s="2"/>
      <c r="C161" s="223"/>
      <c r="D161" s="224"/>
      <c r="E161" s="224"/>
      <c r="F161" s="247"/>
      <c r="G161" s="13"/>
      <c r="H161" s="53"/>
    </row>
    <row r="162" spans="1:8" ht="18" customHeight="1" x14ac:dyDescent="0.25">
      <c r="A162" s="1"/>
      <c r="B162" s="2"/>
      <c r="C162" s="223"/>
      <c r="D162" s="224"/>
      <c r="E162" s="224"/>
      <c r="F162" s="247"/>
      <c r="G162" s="13"/>
      <c r="H162" s="53"/>
    </row>
    <row r="163" spans="1:8" ht="18" customHeight="1" x14ac:dyDescent="0.25">
      <c r="A163" s="1"/>
      <c r="B163" s="2"/>
      <c r="C163" s="223"/>
      <c r="D163" s="224"/>
      <c r="E163" s="224"/>
      <c r="F163" s="247"/>
      <c r="G163" s="13"/>
      <c r="H163" s="53"/>
    </row>
    <row r="164" spans="1:8" ht="18" customHeight="1" x14ac:dyDescent="0.25">
      <c r="A164" s="1"/>
      <c r="B164" s="2"/>
      <c r="C164" s="223"/>
      <c r="D164" s="224"/>
      <c r="E164" s="224"/>
      <c r="F164" s="247"/>
      <c r="G164" s="13"/>
      <c r="H164" s="53"/>
    </row>
    <row r="165" spans="1:8" ht="18" customHeight="1" x14ac:dyDescent="0.25">
      <c r="A165" s="1"/>
      <c r="B165" s="2"/>
      <c r="C165" s="223"/>
      <c r="D165" s="224"/>
      <c r="E165" s="224"/>
      <c r="F165" s="247"/>
      <c r="G165" s="13"/>
      <c r="H165" s="53"/>
    </row>
    <row r="166" spans="1:8" ht="18" customHeight="1" x14ac:dyDescent="0.25">
      <c r="A166" s="1"/>
      <c r="B166" s="2"/>
      <c r="C166" s="223"/>
      <c r="D166" s="224"/>
      <c r="E166" s="224"/>
      <c r="F166" s="247"/>
      <c r="G166" s="13"/>
      <c r="H166" s="53"/>
    </row>
    <row r="167" spans="1:8" ht="18" customHeight="1" x14ac:dyDescent="0.25">
      <c r="A167" s="1"/>
      <c r="B167" s="2"/>
      <c r="C167" s="223"/>
      <c r="D167" s="224"/>
      <c r="E167" s="224"/>
      <c r="F167" s="247"/>
      <c r="G167" s="13"/>
      <c r="H167" s="53"/>
    </row>
    <row r="168" spans="1:8" ht="18" customHeight="1" x14ac:dyDescent="0.25">
      <c r="A168" s="1"/>
      <c r="B168" s="2"/>
      <c r="C168" s="223"/>
      <c r="D168" s="224"/>
      <c r="E168" s="224"/>
      <c r="F168" s="247"/>
      <c r="G168" s="13"/>
      <c r="H168" s="53"/>
    </row>
    <row r="169" spans="1:8" ht="18" customHeight="1" x14ac:dyDescent="0.25">
      <c r="A169" s="1"/>
      <c r="B169" s="2"/>
      <c r="C169" s="223"/>
      <c r="D169" s="224"/>
      <c r="E169" s="224"/>
      <c r="F169" s="247"/>
      <c r="G169" s="13"/>
      <c r="H169" s="53"/>
    </row>
    <row r="170" spans="1:8" ht="18" customHeight="1" x14ac:dyDescent="0.25">
      <c r="A170" s="1"/>
      <c r="B170" s="2"/>
      <c r="C170" s="223"/>
      <c r="D170" s="224"/>
      <c r="E170" s="224"/>
      <c r="F170" s="247"/>
      <c r="G170" s="13"/>
      <c r="H170" s="53"/>
    </row>
    <row r="171" spans="1:8" ht="18" customHeight="1" x14ac:dyDescent="0.25">
      <c r="A171" s="1"/>
      <c r="B171" s="2"/>
      <c r="C171" s="223"/>
      <c r="D171" s="224"/>
      <c r="E171" s="224"/>
      <c r="F171" s="247"/>
      <c r="G171" s="13"/>
      <c r="H171" s="53"/>
    </row>
    <row r="172" spans="1:8" ht="18" customHeight="1" x14ac:dyDescent="0.25">
      <c r="A172" s="1"/>
      <c r="B172" s="2"/>
      <c r="C172" s="223"/>
      <c r="D172" s="224"/>
      <c r="E172" s="224"/>
      <c r="F172" s="247"/>
      <c r="G172" s="13"/>
      <c r="H172" s="53"/>
    </row>
    <row r="173" spans="1:8" ht="18" customHeight="1" x14ac:dyDescent="0.25">
      <c r="A173" s="1"/>
      <c r="B173" s="2"/>
      <c r="C173" s="223"/>
      <c r="D173" s="224"/>
      <c r="E173" s="224"/>
      <c r="F173" s="247"/>
      <c r="G173" s="13"/>
      <c r="H173" s="53"/>
    </row>
    <row r="174" spans="1:8" ht="18" customHeight="1" x14ac:dyDescent="0.25">
      <c r="A174" s="1"/>
      <c r="B174" s="2"/>
      <c r="C174" s="223"/>
      <c r="D174" s="224"/>
      <c r="E174" s="224"/>
      <c r="F174" s="247"/>
      <c r="G174" s="13"/>
      <c r="H174" s="53"/>
    </row>
    <row r="175" spans="1:8" ht="18" customHeight="1" x14ac:dyDescent="0.25">
      <c r="A175" s="1"/>
      <c r="B175" s="2"/>
      <c r="C175" s="223"/>
      <c r="D175" s="224"/>
      <c r="E175" s="224"/>
      <c r="F175" s="247"/>
      <c r="G175" s="13"/>
      <c r="H175" s="53"/>
    </row>
    <row r="176" spans="1:8" ht="18" customHeight="1" x14ac:dyDescent="0.25">
      <c r="A176" s="1"/>
      <c r="B176" s="2"/>
      <c r="C176" s="223"/>
      <c r="D176" s="224"/>
      <c r="E176" s="224"/>
      <c r="F176" s="247"/>
      <c r="G176" s="13"/>
      <c r="H176" s="53"/>
    </row>
    <row r="177" spans="1:8" ht="18" customHeight="1" x14ac:dyDescent="0.25">
      <c r="A177" s="1"/>
      <c r="B177" s="2"/>
      <c r="C177" s="223"/>
      <c r="D177" s="224"/>
      <c r="E177" s="224"/>
      <c r="F177" s="247"/>
      <c r="G177" s="13"/>
      <c r="H177" s="53"/>
    </row>
    <row r="178" spans="1:8" ht="18" customHeight="1" x14ac:dyDescent="0.25">
      <c r="A178" s="1"/>
      <c r="B178" s="2"/>
      <c r="C178" s="223"/>
      <c r="D178" s="224"/>
      <c r="E178" s="224"/>
      <c r="F178" s="247"/>
      <c r="G178" s="13"/>
      <c r="H178" s="53"/>
    </row>
    <row r="179" spans="1:8" ht="18" customHeight="1" x14ac:dyDescent="0.25">
      <c r="A179" s="1"/>
      <c r="B179" s="2"/>
      <c r="C179" s="223"/>
      <c r="D179" s="224"/>
      <c r="E179" s="224"/>
      <c r="F179" s="247"/>
      <c r="G179" s="13"/>
      <c r="H179" s="53"/>
    </row>
    <row r="180" spans="1:8" ht="18" customHeight="1" thickBot="1" x14ac:dyDescent="0.3">
      <c r="A180" s="4"/>
      <c r="B180" s="5"/>
      <c r="C180" s="396"/>
      <c r="D180" s="251"/>
      <c r="E180" s="251"/>
      <c r="F180" s="252"/>
      <c r="G180" s="37"/>
      <c r="H180" s="54"/>
    </row>
  </sheetData>
  <mergeCells count="180">
    <mergeCell ref="C178:F178"/>
    <mergeCell ref="C179:F179"/>
    <mergeCell ref="C180:F180"/>
    <mergeCell ref="C173:F173"/>
    <mergeCell ref="C174:F174"/>
    <mergeCell ref="C175:F175"/>
    <mergeCell ref="C176:F176"/>
    <mergeCell ref="C177:F177"/>
    <mergeCell ref="C168:F168"/>
    <mergeCell ref="C169:F169"/>
    <mergeCell ref="C170:F170"/>
    <mergeCell ref="C171:F171"/>
    <mergeCell ref="C172:F172"/>
    <mergeCell ref="C163:F163"/>
    <mergeCell ref="C164:F164"/>
    <mergeCell ref="C165:F165"/>
    <mergeCell ref="C166:F166"/>
    <mergeCell ref="C167:F167"/>
    <mergeCell ref="C158:F158"/>
    <mergeCell ref="C159:F159"/>
    <mergeCell ref="C160:F160"/>
    <mergeCell ref="C161:F161"/>
    <mergeCell ref="C162:F162"/>
    <mergeCell ref="C153:F153"/>
    <mergeCell ref="C154:F154"/>
    <mergeCell ref="C155:F155"/>
    <mergeCell ref="C156:F156"/>
    <mergeCell ref="C157:F157"/>
    <mergeCell ref="C148:F148"/>
    <mergeCell ref="C149:F149"/>
    <mergeCell ref="C150:F150"/>
    <mergeCell ref="C151:F151"/>
    <mergeCell ref="C152:F152"/>
    <mergeCell ref="C143:F143"/>
    <mergeCell ref="C144:F144"/>
    <mergeCell ref="A145:H145"/>
    <mergeCell ref="C146:F146"/>
    <mergeCell ref="C147:F147"/>
    <mergeCell ref="C138:F138"/>
    <mergeCell ref="C139:F139"/>
    <mergeCell ref="C140:F140"/>
    <mergeCell ref="C141:F141"/>
    <mergeCell ref="C142:F142"/>
    <mergeCell ref="C133:F133"/>
    <mergeCell ref="C134:F134"/>
    <mergeCell ref="C135:F135"/>
    <mergeCell ref="C136:F136"/>
    <mergeCell ref="C137:F137"/>
    <mergeCell ref="C128:F128"/>
    <mergeCell ref="C129:F129"/>
    <mergeCell ref="C130:F130"/>
    <mergeCell ref="C131:F131"/>
    <mergeCell ref="C132:F132"/>
    <mergeCell ref="C123:F123"/>
    <mergeCell ref="C124:F124"/>
    <mergeCell ref="C125:F125"/>
    <mergeCell ref="C126:F126"/>
    <mergeCell ref="C127:F127"/>
    <mergeCell ref="C118:F118"/>
    <mergeCell ref="C119:F119"/>
    <mergeCell ref="C120:F120"/>
    <mergeCell ref="C121:F121"/>
    <mergeCell ref="C122:F122"/>
    <mergeCell ref="C113:F113"/>
    <mergeCell ref="C114:F114"/>
    <mergeCell ref="C115:F115"/>
    <mergeCell ref="C116:F116"/>
    <mergeCell ref="C117:F117"/>
    <mergeCell ref="C108:F108"/>
    <mergeCell ref="A109:H109"/>
    <mergeCell ref="C110:F110"/>
    <mergeCell ref="C111:F111"/>
    <mergeCell ref="C112:F112"/>
    <mergeCell ref="C103:F103"/>
    <mergeCell ref="C104:F104"/>
    <mergeCell ref="C105:F105"/>
    <mergeCell ref="C106:F106"/>
    <mergeCell ref="C107:F107"/>
    <mergeCell ref="C98:F98"/>
    <mergeCell ref="C99:F99"/>
    <mergeCell ref="C100:F100"/>
    <mergeCell ref="C101:F101"/>
    <mergeCell ref="C102:F102"/>
    <mergeCell ref="C93:F93"/>
    <mergeCell ref="C94:F94"/>
    <mergeCell ref="C95:F95"/>
    <mergeCell ref="C96:F96"/>
    <mergeCell ref="C97:F97"/>
    <mergeCell ref="C88:F88"/>
    <mergeCell ref="C89:F89"/>
    <mergeCell ref="C90:F90"/>
    <mergeCell ref="C91:F91"/>
    <mergeCell ref="C92:F92"/>
    <mergeCell ref="C83:F83"/>
    <mergeCell ref="C84:F84"/>
    <mergeCell ref="C85:F85"/>
    <mergeCell ref="C86:F86"/>
    <mergeCell ref="C87:F87"/>
    <mergeCell ref="C78:F78"/>
    <mergeCell ref="C79:F79"/>
    <mergeCell ref="C80:F80"/>
    <mergeCell ref="C81:F81"/>
    <mergeCell ref="C82:F82"/>
    <mergeCell ref="A73:H73"/>
    <mergeCell ref="C74:F74"/>
    <mergeCell ref="C75:F75"/>
    <mergeCell ref="C76:F76"/>
    <mergeCell ref="C77:F77"/>
    <mergeCell ref="C6:F6"/>
    <mergeCell ref="C7:F7"/>
    <mergeCell ref="C8:F8"/>
    <mergeCell ref="C34:F34"/>
    <mergeCell ref="C35:F35"/>
    <mergeCell ref="C10:F10"/>
    <mergeCell ref="C11:F11"/>
    <mergeCell ref="C24:F24"/>
    <mergeCell ref="C9:F9"/>
    <mergeCell ref="C12:F12"/>
    <mergeCell ref="C13:F13"/>
    <mergeCell ref="C14:F14"/>
    <mergeCell ref="C15:F15"/>
    <mergeCell ref="C16:F16"/>
    <mergeCell ref="C32:F32"/>
    <mergeCell ref="C39:F39"/>
    <mergeCell ref="C40:F40"/>
    <mergeCell ref="C41:F41"/>
    <mergeCell ref="C42:F42"/>
    <mergeCell ref="A1:H1"/>
    <mergeCell ref="C2:F2"/>
    <mergeCell ref="C3:F3"/>
    <mergeCell ref="C4:F4"/>
    <mergeCell ref="C5:F5"/>
    <mergeCell ref="C28:F28"/>
    <mergeCell ref="C29:F29"/>
    <mergeCell ref="C30:F30"/>
    <mergeCell ref="C31:F31"/>
    <mergeCell ref="C22:F22"/>
    <mergeCell ref="C23:F23"/>
    <mergeCell ref="C25:F25"/>
    <mergeCell ref="C26:F26"/>
    <mergeCell ref="C27:F27"/>
    <mergeCell ref="C17:F17"/>
    <mergeCell ref="C18:F18"/>
    <mergeCell ref="C19:F19"/>
    <mergeCell ref="C20:F20"/>
    <mergeCell ref="C21:F21"/>
    <mergeCell ref="C33:F33"/>
    <mergeCell ref="A37:H37"/>
    <mergeCell ref="C36:F36"/>
    <mergeCell ref="C60:F60"/>
    <mergeCell ref="C43:F43"/>
    <mergeCell ref="C44:F44"/>
    <mergeCell ref="C45:F45"/>
    <mergeCell ref="C46:F46"/>
    <mergeCell ref="C47:F47"/>
    <mergeCell ref="C48:F48"/>
    <mergeCell ref="C49:F49"/>
    <mergeCell ref="C54:F54"/>
    <mergeCell ref="C55:F55"/>
    <mergeCell ref="C56:F56"/>
    <mergeCell ref="C57:F57"/>
    <mergeCell ref="C58:F58"/>
    <mergeCell ref="C50:F50"/>
    <mergeCell ref="C51:F51"/>
    <mergeCell ref="C70:F70"/>
    <mergeCell ref="C71:F71"/>
    <mergeCell ref="C72:F72"/>
    <mergeCell ref="C38:F38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52:F52"/>
    <mergeCell ref="C53:F53"/>
    <mergeCell ref="C59:F59"/>
  </mergeCells>
  <pageMargins left="0.7" right="0.7" top="1.25" bottom="0.78" header="0.3" footer="0.3"/>
  <pageSetup orientation="portrait" r:id="rId1"/>
  <headerFooter>
    <oddHeader>&amp;C&amp;G
&amp;"Century Gothic,Regular"&amp;16&amp;K252260Annual Fundraising Plan Calendar&amp;R&amp;"Century Gothic,Regular"&amp;9&amp;K252260Page &amp;P of &amp;N</oddHeader>
    <oddFooter>&amp;C&amp;"Century Gothic,Regular"&amp;9&amp;K252260Learn how our award-winning software can help you achieve your fundraising goals at DonorView.com.</oddFooter>
  </headerFooter>
  <rowBreaks count="4" manualBreakCount="4">
    <brk id="36" max="16383" man="1"/>
    <brk id="72" max="16383" man="1"/>
    <brk id="108" max="16383" man="1"/>
    <brk id="144" max="16383" man="1"/>
  </row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4D82-3177-4EF0-9D83-38CA16ECA189}">
  <dimension ref="A1:H211"/>
  <sheetViews>
    <sheetView topLeftCell="A139" workbookViewId="0">
      <selection activeCell="S190" sqref="S190"/>
    </sheetView>
  </sheetViews>
  <sheetFormatPr defaultRowHeight="15" x14ac:dyDescent="0.25"/>
  <cols>
    <col min="1" max="2" width="11.28515625" customWidth="1"/>
    <col min="3" max="3" width="11.42578125" customWidth="1"/>
    <col min="4" max="6" width="11.28515625" customWidth="1"/>
    <col min="7" max="7" width="12.28515625" customWidth="1"/>
    <col min="8" max="8" width="10.140625" customWidth="1"/>
  </cols>
  <sheetData>
    <row r="1" spans="1:8" s="63" customFormat="1" ht="30" customHeight="1" thickBot="1" x14ac:dyDescent="0.3">
      <c r="A1" s="211" t="s">
        <v>435</v>
      </c>
      <c r="B1" s="212"/>
      <c r="C1" s="212"/>
      <c r="D1" s="212"/>
      <c r="E1" s="212"/>
      <c r="F1" s="212"/>
      <c r="G1" s="212"/>
      <c r="H1" s="213"/>
    </row>
    <row r="2" spans="1:8" s="63" customFormat="1" ht="30" customHeight="1" x14ac:dyDescent="0.25">
      <c r="A2" s="484" t="s">
        <v>469</v>
      </c>
      <c r="B2" s="485"/>
      <c r="C2" s="485"/>
      <c r="D2" s="485"/>
      <c r="E2" s="485"/>
      <c r="F2" s="485"/>
      <c r="G2" s="485"/>
      <c r="H2" s="486"/>
    </row>
    <row r="3" spans="1:8" s="63" customFormat="1" ht="18" customHeight="1" x14ac:dyDescent="0.25">
      <c r="A3" s="487" t="s">
        <v>470</v>
      </c>
      <c r="B3" s="488"/>
      <c r="C3" s="488"/>
      <c r="D3" s="488"/>
      <c r="E3" s="488"/>
      <c r="F3" s="488"/>
      <c r="G3" s="488"/>
      <c r="H3" s="489"/>
    </row>
    <row r="4" spans="1:8" s="63" customFormat="1" ht="18" customHeight="1" x14ac:dyDescent="0.25">
      <c r="A4" s="226" t="s">
        <v>471</v>
      </c>
      <c r="B4" s="227"/>
      <c r="C4" s="2"/>
      <c r="D4" s="227" t="s">
        <v>472</v>
      </c>
      <c r="E4" s="227"/>
      <c r="F4" s="2"/>
      <c r="G4" s="42" t="s">
        <v>473</v>
      </c>
      <c r="H4" s="115" t="e">
        <f>(F4-C4)/C4</f>
        <v>#DIV/0!</v>
      </c>
    </row>
    <row r="5" spans="1:8" s="63" customFormat="1" ht="18" customHeight="1" x14ac:dyDescent="0.25">
      <c r="A5" s="226" t="s">
        <v>474</v>
      </c>
      <c r="B5" s="227"/>
      <c r="C5" s="125"/>
      <c r="D5" s="227" t="s">
        <v>475</v>
      </c>
      <c r="E5" s="227"/>
      <c r="F5" s="125"/>
      <c r="G5" s="42" t="s">
        <v>473</v>
      </c>
      <c r="H5" s="115" t="e">
        <f t="shared" ref="H5:H7" si="0">(F5-C5)/C5</f>
        <v>#DIV/0!</v>
      </c>
    </row>
    <row r="6" spans="1:8" s="63" customFormat="1" ht="18" customHeight="1" x14ac:dyDescent="0.25">
      <c r="A6" s="226" t="s">
        <v>476</v>
      </c>
      <c r="B6" s="227"/>
      <c r="C6" s="2"/>
      <c r="D6" s="227" t="s">
        <v>477</v>
      </c>
      <c r="E6" s="227"/>
      <c r="F6" s="2"/>
      <c r="G6" s="42" t="s">
        <v>473</v>
      </c>
      <c r="H6" s="115" t="e">
        <f t="shared" si="0"/>
        <v>#DIV/0!</v>
      </c>
    </row>
    <row r="7" spans="1:8" s="63" customFormat="1" ht="18" customHeight="1" x14ac:dyDescent="0.25">
      <c r="A7" s="226" t="s">
        <v>478</v>
      </c>
      <c r="B7" s="227"/>
      <c r="C7" s="125"/>
      <c r="D7" s="227" t="s">
        <v>479</v>
      </c>
      <c r="E7" s="227"/>
      <c r="F7" s="125"/>
      <c r="G7" s="42" t="s">
        <v>473</v>
      </c>
      <c r="H7" s="115" t="e">
        <f t="shared" si="0"/>
        <v>#DIV/0!</v>
      </c>
    </row>
    <row r="8" spans="1:8" s="63" customFormat="1" ht="18" customHeight="1" x14ac:dyDescent="0.25">
      <c r="A8" s="41" t="s">
        <v>130</v>
      </c>
      <c r="B8" s="42" t="s">
        <v>60</v>
      </c>
      <c r="C8" s="379" t="s">
        <v>92</v>
      </c>
      <c r="D8" s="381"/>
      <c r="E8" s="381"/>
      <c r="F8" s="380"/>
      <c r="G8" s="42" t="s">
        <v>57</v>
      </c>
      <c r="H8" s="43" t="s">
        <v>131</v>
      </c>
    </row>
    <row r="9" spans="1:8" s="63" customFormat="1" ht="18" customHeight="1" x14ac:dyDescent="0.25">
      <c r="A9" s="1"/>
      <c r="B9" s="2"/>
      <c r="C9" s="223"/>
      <c r="D9" s="224"/>
      <c r="E9" s="224"/>
      <c r="F9" s="247"/>
      <c r="G9" s="2"/>
      <c r="H9" s="53"/>
    </row>
    <row r="10" spans="1:8" s="63" customFormat="1" ht="18" customHeight="1" x14ac:dyDescent="0.25">
      <c r="A10" s="1"/>
      <c r="B10" s="2"/>
      <c r="C10" s="223"/>
      <c r="D10" s="224"/>
      <c r="E10" s="224"/>
      <c r="F10" s="247"/>
      <c r="G10" s="2"/>
      <c r="H10" s="53"/>
    </row>
    <row r="11" spans="1:8" s="63" customFormat="1" ht="18" customHeight="1" x14ac:dyDescent="0.25">
      <c r="A11" s="1"/>
      <c r="B11" s="2"/>
      <c r="C11" s="223"/>
      <c r="D11" s="224"/>
      <c r="E11" s="224"/>
      <c r="F11" s="247"/>
      <c r="G11" s="2"/>
      <c r="H11" s="53"/>
    </row>
    <row r="12" spans="1:8" s="63" customFormat="1" ht="18" customHeight="1" x14ac:dyDescent="0.25">
      <c r="A12" s="1"/>
      <c r="B12" s="2"/>
      <c r="C12" s="223"/>
      <c r="D12" s="224"/>
      <c r="E12" s="224"/>
      <c r="F12" s="247"/>
      <c r="G12" s="2"/>
      <c r="H12" s="53"/>
    </row>
    <row r="13" spans="1:8" s="63" customFormat="1" ht="18" customHeight="1" x14ac:dyDescent="0.25">
      <c r="A13" s="1"/>
      <c r="B13" s="2"/>
      <c r="C13" s="223"/>
      <c r="D13" s="224"/>
      <c r="E13" s="224"/>
      <c r="F13" s="247"/>
      <c r="G13" s="2"/>
      <c r="H13" s="53"/>
    </row>
    <row r="14" spans="1:8" s="63" customFormat="1" ht="18" customHeight="1" x14ac:dyDescent="0.25">
      <c r="A14" s="1"/>
      <c r="B14" s="2"/>
      <c r="C14" s="223"/>
      <c r="D14" s="224"/>
      <c r="E14" s="224"/>
      <c r="F14" s="247"/>
      <c r="G14" s="2"/>
      <c r="H14" s="53"/>
    </row>
    <row r="15" spans="1:8" s="63" customFormat="1" ht="18" customHeight="1" x14ac:dyDescent="0.25">
      <c r="A15" s="1"/>
      <c r="B15" s="2"/>
      <c r="C15" s="223"/>
      <c r="D15" s="224"/>
      <c r="E15" s="224"/>
      <c r="F15" s="247"/>
      <c r="G15" s="2"/>
      <c r="H15" s="53"/>
    </row>
    <row r="16" spans="1:8" s="63" customFormat="1" ht="18" customHeight="1" x14ac:dyDescent="0.25">
      <c r="A16" s="1"/>
      <c r="B16" s="2"/>
      <c r="C16" s="223"/>
      <c r="D16" s="224"/>
      <c r="E16" s="224"/>
      <c r="F16" s="247"/>
      <c r="G16" s="2"/>
      <c r="H16" s="53"/>
    </row>
    <row r="17" spans="1:8" s="63" customFormat="1" ht="18" customHeight="1" x14ac:dyDescent="0.25">
      <c r="A17" s="1"/>
      <c r="B17" s="2"/>
      <c r="C17" s="223"/>
      <c r="D17" s="224"/>
      <c r="E17" s="224"/>
      <c r="F17" s="247"/>
      <c r="G17" s="2"/>
      <c r="H17" s="53"/>
    </row>
    <row r="18" spans="1:8" s="63" customFormat="1" ht="18" customHeight="1" x14ac:dyDescent="0.25">
      <c r="A18" s="1"/>
      <c r="B18" s="2"/>
      <c r="C18" s="223"/>
      <c r="D18" s="224"/>
      <c r="E18" s="224"/>
      <c r="F18" s="247"/>
      <c r="G18" s="2"/>
      <c r="H18" s="53"/>
    </row>
    <row r="19" spans="1:8" s="63" customFormat="1" ht="18" customHeight="1" x14ac:dyDescent="0.25">
      <c r="A19" s="1"/>
      <c r="B19" s="2"/>
      <c r="C19" s="223"/>
      <c r="D19" s="224"/>
      <c r="E19" s="224"/>
      <c r="F19" s="247"/>
      <c r="G19" s="2"/>
      <c r="H19" s="53"/>
    </row>
    <row r="20" spans="1:8" s="63" customFormat="1" ht="18" customHeight="1" x14ac:dyDescent="0.25">
      <c r="A20" s="100"/>
      <c r="B20" s="126"/>
      <c r="C20" s="223"/>
      <c r="D20" s="224"/>
      <c r="E20" s="224"/>
      <c r="F20" s="247"/>
      <c r="G20" s="126"/>
      <c r="H20" s="55"/>
    </row>
    <row r="21" spans="1:8" s="63" customFormat="1" ht="18" customHeight="1" thickBot="1" x14ac:dyDescent="0.3">
      <c r="A21" s="1"/>
      <c r="B21" s="2"/>
      <c r="C21" s="223"/>
      <c r="D21" s="224"/>
      <c r="E21" s="224"/>
      <c r="F21" s="247"/>
      <c r="G21" s="2"/>
      <c r="H21" s="53"/>
    </row>
    <row r="22" spans="1:8" s="63" customFormat="1" ht="18" customHeight="1" x14ac:dyDescent="0.25">
      <c r="A22" s="490" t="s">
        <v>480</v>
      </c>
      <c r="B22" s="491"/>
      <c r="C22" s="491"/>
      <c r="D22" s="491"/>
      <c r="E22" s="491"/>
      <c r="F22" s="491"/>
      <c r="G22" s="491"/>
      <c r="H22" s="492"/>
    </row>
    <row r="23" spans="1:8" s="63" customFormat="1" ht="18" customHeight="1" x14ac:dyDescent="0.25">
      <c r="A23" s="226" t="s">
        <v>481</v>
      </c>
      <c r="B23" s="227"/>
      <c r="C23" s="2"/>
      <c r="D23" s="227" t="s">
        <v>482</v>
      </c>
      <c r="E23" s="227"/>
      <c r="F23" s="2"/>
      <c r="G23" s="42" t="s">
        <v>473</v>
      </c>
      <c r="H23" s="115" t="e">
        <f t="shared" ref="H23:H24" si="1">(F23-C23)/C23</f>
        <v>#DIV/0!</v>
      </c>
    </row>
    <row r="24" spans="1:8" s="63" customFormat="1" ht="18" customHeight="1" x14ac:dyDescent="0.25">
      <c r="A24" s="226" t="s">
        <v>483</v>
      </c>
      <c r="B24" s="227"/>
      <c r="C24" s="2"/>
      <c r="D24" s="227" t="s">
        <v>484</v>
      </c>
      <c r="E24" s="227"/>
      <c r="F24" s="2"/>
      <c r="G24" s="42" t="s">
        <v>473</v>
      </c>
      <c r="H24" s="115" t="e">
        <f t="shared" si="1"/>
        <v>#DIV/0!</v>
      </c>
    </row>
    <row r="25" spans="1:8" s="63" customFormat="1" ht="18" customHeight="1" x14ac:dyDescent="0.25">
      <c r="A25" s="41" t="s">
        <v>130</v>
      </c>
      <c r="B25" s="42" t="s">
        <v>60</v>
      </c>
      <c r="C25" s="379" t="s">
        <v>92</v>
      </c>
      <c r="D25" s="381"/>
      <c r="E25" s="381"/>
      <c r="F25" s="380"/>
      <c r="G25" s="42" t="s">
        <v>57</v>
      </c>
      <c r="H25" s="43" t="s">
        <v>131</v>
      </c>
    </row>
    <row r="26" spans="1:8" s="63" customFormat="1" ht="18" customHeight="1" x14ac:dyDescent="0.25">
      <c r="A26" s="1"/>
      <c r="B26" s="2"/>
      <c r="C26" s="223"/>
      <c r="D26" s="224"/>
      <c r="E26" s="224"/>
      <c r="F26" s="247"/>
      <c r="G26" s="2"/>
      <c r="H26" s="53"/>
    </row>
    <row r="27" spans="1:8" s="63" customFormat="1" ht="18" customHeight="1" x14ac:dyDescent="0.25">
      <c r="A27" s="1"/>
      <c r="B27" s="2"/>
      <c r="C27" s="223"/>
      <c r="D27" s="224"/>
      <c r="E27" s="224"/>
      <c r="F27" s="247"/>
      <c r="G27" s="2"/>
      <c r="H27" s="53"/>
    </row>
    <row r="28" spans="1:8" s="63" customFormat="1" ht="18" customHeight="1" x14ac:dyDescent="0.25">
      <c r="A28" s="1"/>
      <c r="B28" s="2"/>
      <c r="C28" s="223"/>
      <c r="D28" s="224"/>
      <c r="E28" s="224"/>
      <c r="F28" s="247"/>
      <c r="G28" s="2"/>
      <c r="H28" s="53"/>
    </row>
    <row r="29" spans="1:8" s="63" customFormat="1" ht="18" customHeight="1" x14ac:dyDescent="0.25">
      <c r="A29" s="1"/>
      <c r="B29" s="2"/>
      <c r="C29" s="223"/>
      <c r="D29" s="224"/>
      <c r="E29" s="224"/>
      <c r="F29" s="247"/>
      <c r="G29" s="2"/>
      <c r="H29" s="53"/>
    </row>
    <row r="30" spans="1:8" s="63" customFormat="1" ht="18" customHeight="1" x14ac:dyDescent="0.25">
      <c r="A30" s="1"/>
      <c r="B30" s="2"/>
      <c r="C30" s="223"/>
      <c r="D30" s="224"/>
      <c r="E30" s="224"/>
      <c r="F30" s="247"/>
      <c r="G30" s="2"/>
      <c r="H30" s="53"/>
    </row>
    <row r="31" spans="1:8" s="63" customFormat="1" ht="18" customHeight="1" x14ac:dyDescent="0.25">
      <c r="A31" s="1"/>
      <c r="B31" s="2"/>
      <c r="C31" s="223"/>
      <c r="D31" s="224"/>
      <c r="E31" s="224"/>
      <c r="F31" s="247"/>
      <c r="G31" s="2"/>
      <c r="H31" s="53"/>
    </row>
    <row r="32" spans="1:8" s="63" customFormat="1" ht="18" customHeight="1" x14ac:dyDescent="0.25">
      <c r="A32" s="1"/>
      <c r="B32" s="2"/>
      <c r="C32" s="223"/>
      <c r="D32" s="224"/>
      <c r="E32" s="224"/>
      <c r="F32" s="247"/>
      <c r="G32" s="2"/>
      <c r="H32" s="53"/>
    </row>
    <row r="33" spans="1:8" s="63" customFormat="1" ht="18" customHeight="1" x14ac:dyDescent="0.25">
      <c r="A33" s="1"/>
      <c r="B33" s="2"/>
      <c r="C33" s="223"/>
      <c r="D33" s="224"/>
      <c r="E33" s="224"/>
      <c r="F33" s="247"/>
      <c r="G33" s="2"/>
      <c r="H33" s="53"/>
    </row>
    <row r="34" spans="1:8" s="63" customFormat="1" ht="18" customHeight="1" x14ac:dyDescent="0.25">
      <c r="A34" s="1"/>
      <c r="B34" s="2"/>
      <c r="C34" s="223"/>
      <c r="D34" s="224"/>
      <c r="E34" s="224"/>
      <c r="F34" s="247"/>
      <c r="G34" s="13"/>
      <c r="H34" s="53"/>
    </row>
    <row r="35" spans="1:8" s="63" customFormat="1" ht="18" customHeight="1" thickBot="1" x14ac:dyDescent="0.3">
      <c r="A35" s="4"/>
      <c r="B35" s="5"/>
      <c r="C35" s="396"/>
      <c r="D35" s="251"/>
      <c r="E35" s="251"/>
      <c r="F35" s="252"/>
      <c r="G35" s="37"/>
      <c r="H35" s="54"/>
    </row>
    <row r="36" spans="1:8" s="63" customFormat="1" ht="30" customHeight="1" thickBot="1" x14ac:dyDescent="0.3">
      <c r="A36" s="211" t="s">
        <v>435</v>
      </c>
      <c r="B36" s="212"/>
      <c r="C36" s="212"/>
      <c r="D36" s="212"/>
      <c r="E36" s="212"/>
      <c r="F36" s="212"/>
      <c r="G36" s="212"/>
      <c r="H36" s="213"/>
    </row>
    <row r="37" spans="1:8" s="63" customFormat="1" ht="30" customHeight="1" x14ac:dyDescent="0.25">
      <c r="A37" s="484" t="s">
        <v>469</v>
      </c>
      <c r="B37" s="485"/>
      <c r="C37" s="485"/>
      <c r="D37" s="485"/>
      <c r="E37" s="485"/>
      <c r="F37" s="485"/>
      <c r="G37" s="485"/>
      <c r="H37" s="486"/>
    </row>
    <row r="38" spans="1:8" s="63" customFormat="1" ht="18" customHeight="1" x14ac:dyDescent="0.25">
      <c r="A38" s="487" t="s">
        <v>485</v>
      </c>
      <c r="B38" s="488"/>
      <c r="C38" s="488"/>
      <c r="D38" s="488"/>
      <c r="E38" s="488"/>
      <c r="F38" s="488"/>
      <c r="G38" s="488"/>
      <c r="H38" s="489"/>
    </row>
    <row r="39" spans="1:8" s="63" customFormat="1" ht="18" customHeight="1" x14ac:dyDescent="0.25">
      <c r="A39" s="226" t="s">
        <v>486</v>
      </c>
      <c r="B39" s="227"/>
      <c r="C39" s="2"/>
      <c r="D39" s="227" t="s">
        <v>487</v>
      </c>
      <c r="E39" s="227"/>
      <c r="F39" s="2"/>
      <c r="G39" s="42" t="s">
        <v>473</v>
      </c>
      <c r="H39" s="115" t="e">
        <f t="shared" ref="H39" si="2">(F39-C39)/C39</f>
        <v>#DIV/0!</v>
      </c>
    </row>
    <row r="40" spans="1:8" s="63" customFormat="1" ht="18" customHeight="1" x14ac:dyDescent="0.25">
      <c r="A40" s="41" t="s">
        <v>130</v>
      </c>
      <c r="B40" s="42" t="s">
        <v>60</v>
      </c>
      <c r="C40" s="379" t="s">
        <v>92</v>
      </c>
      <c r="D40" s="381"/>
      <c r="E40" s="381"/>
      <c r="F40" s="380"/>
      <c r="G40" s="42" t="s">
        <v>57</v>
      </c>
      <c r="H40" s="43" t="s">
        <v>131</v>
      </c>
    </row>
    <row r="41" spans="1:8" s="63" customFormat="1" ht="18" customHeight="1" x14ac:dyDescent="0.25">
      <c r="A41" s="1"/>
      <c r="B41" s="2"/>
      <c r="C41" s="223"/>
      <c r="D41" s="224"/>
      <c r="E41" s="224"/>
      <c r="F41" s="247"/>
      <c r="G41" s="2"/>
      <c r="H41" s="53"/>
    </row>
    <row r="42" spans="1:8" s="63" customFormat="1" ht="18" customHeight="1" x14ac:dyDescent="0.25">
      <c r="A42" s="1"/>
      <c r="B42" s="2"/>
      <c r="C42" s="223"/>
      <c r="D42" s="224"/>
      <c r="E42" s="224"/>
      <c r="F42" s="247"/>
      <c r="G42" s="2"/>
      <c r="H42" s="53"/>
    </row>
    <row r="43" spans="1:8" s="63" customFormat="1" ht="18" customHeight="1" x14ac:dyDescent="0.25">
      <c r="A43" s="1"/>
      <c r="B43" s="2"/>
      <c r="C43" s="223"/>
      <c r="D43" s="224"/>
      <c r="E43" s="224"/>
      <c r="F43" s="247"/>
      <c r="G43" s="2"/>
      <c r="H43" s="53"/>
    </row>
    <row r="44" spans="1:8" s="63" customFormat="1" ht="18" customHeight="1" x14ac:dyDescent="0.25">
      <c r="A44" s="1"/>
      <c r="B44" s="2"/>
      <c r="C44" s="223"/>
      <c r="D44" s="224"/>
      <c r="E44" s="224"/>
      <c r="F44" s="247"/>
      <c r="G44" s="2"/>
      <c r="H44" s="53"/>
    </row>
    <row r="45" spans="1:8" s="63" customFormat="1" ht="18" customHeight="1" x14ac:dyDescent="0.25">
      <c r="A45" s="1"/>
      <c r="B45" s="2"/>
      <c r="C45" s="223"/>
      <c r="D45" s="224"/>
      <c r="E45" s="224"/>
      <c r="F45" s="247"/>
      <c r="G45" s="2"/>
      <c r="H45" s="53"/>
    </row>
    <row r="46" spans="1:8" s="63" customFormat="1" ht="18" customHeight="1" x14ac:dyDescent="0.25">
      <c r="A46" s="1"/>
      <c r="B46" s="2"/>
      <c r="C46" s="223"/>
      <c r="D46" s="224"/>
      <c r="E46" s="224"/>
      <c r="F46" s="247"/>
      <c r="G46" s="2"/>
      <c r="H46" s="53"/>
    </row>
    <row r="47" spans="1:8" s="63" customFormat="1" ht="18" customHeight="1" x14ac:dyDescent="0.25">
      <c r="A47" s="1"/>
      <c r="B47" s="2"/>
      <c r="C47" s="223"/>
      <c r="D47" s="224"/>
      <c r="E47" s="224"/>
      <c r="F47" s="247"/>
      <c r="G47" s="2"/>
      <c r="H47" s="53"/>
    </row>
    <row r="48" spans="1:8" s="63" customFormat="1" ht="18" customHeight="1" x14ac:dyDescent="0.25">
      <c r="A48" s="1"/>
      <c r="B48" s="2"/>
      <c r="C48" s="223"/>
      <c r="D48" s="224"/>
      <c r="E48" s="224"/>
      <c r="F48" s="247"/>
      <c r="G48" s="13"/>
      <c r="H48" s="53"/>
    </row>
    <row r="49" spans="1:8" s="63" customFormat="1" ht="18" customHeight="1" x14ac:dyDescent="0.25">
      <c r="A49" s="1"/>
      <c r="B49" s="2"/>
      <c r="C49" s="223"/>
      <c r="D49" s="224"/>
      <c r="E49" s="224"/>
      <c r="F49" s="247"/>
      <c r="G49" s="13"/>
      <c r="H49" s="53"/>
    </row>
    <row r="50" spans="1:8" s="63" customFormat="1" ht="18" customHeight="1" x14ac:dyDescent="0.25">
      <c r="A50" s="1"/>
      <c r="B50" s="2"/>
      <c r="C50" s="223"/>
      <c r="D50" s="224"/>
      <c r="E50" s="224"/>
      <c r="F50" s="247"/>
      <c r="G50" s="13"/>
      <c r="H50" s="53"/>
    </row>
    <row r="51" spans="1:8" s="63" customFormat="1" ht="18" customHeight="1" x14ac:dyDescent="0.25">
      <c r="A51" s="1"/>
      <c r="B51" s="2"/>
      <c r="C51" s="223"/>
      <c r="D51" s="224"/>
      <c r="E51" s="224"/>
      <c r="F51" s="247"/>
      <c r="G51" s="13"/>
      <c r="H51" s="53"/>
    </row>
    <row r="52" spans="1:8" s="63" customFormat="1" ht="18" customHeight="1" x14ac:dyDescent="0.25">
      <c r="A52" s="1"/>
      <c r="B52" s="2"/>
      <c r="C52" s="223"/>
      <c r="D52" s="224"/>
      <c r="E52" s="224"/>
      <c r="F52" s="247"/>
      <c r="G52" s="13"/>
      <c r="H52" s="53"/>
    </row>
    <row r="53" spans="1:8" s="63" customFormat="1" ht="18" customHeight="1" x14ac:dyDescent="0.25">
      <c r="A53" s="1"/>
      <c r="B53" s="2"/>
      <c r="C53" s="223"/>
      <c r="D53" s="224"/>
      <c r="E53" s="224"/>
      <c r="F53" s="247"/>
      <c r="G53" s="13"/>
      <c r="H53" s="53"/>
    </row>
    <row r="54" spans="1:8" s="63" customFormat="1" ht="18" customHeight="1" thickBot="1" x14ac:dyDescent="0.3">
      <c r="A54" s="4"/>
      <c r="B54" s="5"/>
      <c r="C54" s="396"/>
      <c r="D54" s="251"/>
      <c r="E54" s="251"/>
      <c r="F54" s="252"/>
      <c r="G54" s="37"/>
      <c r="H54" s="54"/>
    </row>
    <row r="55" spans="1:8" s="63" customFormat="1" ht="18" customHeight="1" x14ac:dyDescent="0.25">
      <c r="A55" s="490" t="s">
        <v>488</v>
      </c>
      <c r="B55" s="491"/>
      <c r="C55" s="491"/>
      <c r="D55" s="491"/>
      <c r="E55" s="491"/>
      <c r="F55" s="491"/>
      <c r="G55" s="491"/>
      <c r="H55" s="492"/>
    </row>
    <row r="56" spans="1:8" s="63" customFormat="1" ht="18" customHeight="1" x14ac:dyDescent="0.25">
      <c r="A56" s="226" t="s">
        <v>489</v>
      </c>
      <c r="B56" s="227"/>
      <c r="C56" s="2"/>
      <c r="D56" s="227" t="s">
        <v>490</v>
      </c>
      <c r="E56" s="227"/>
      <c r="F56" s="2"/>
      <c r="G56" s="42" t="s">
        <v>473</v>
      </c>
      <c r="H56" s="115" t="e">
        <f t="shared" ref="H56:H57" si="3">(F56-C56)/C56</f>
        <v>#DIV/0!</v>
      </c>
    </row>
    <row r="57" spans="1:8" s="63" customFormat="1" ht="18" customHeight="1" x14ac:dyDescent="0.25">
      <c r="A57" s="226" t="s">
        <v>491</v>
      </c>
      <c r="B57" s="227"/>
      <c r="C57" s="2"/>
      <c r="D57" s="227" t="s">
        <v>492</v>
      </c>
      <c r="E57" s="227"/>
      <c r="F57" s="2"/>
      <c r="G57" s="42" t="s">
        <v>473</v>
      </c>
      <c r="H57" s="115" t="e">
        <f t="shared" si="3"/>
        <v>#DIV/0!</v>
      </c>
    </row>
    <row r="58" spans="1:8" s="63" customFormat="1" ht="18" customHeight="1" x14ac:dyDescent="0.25">
      <c r="A58" s="41" t="s">
        <v>130</v>
      </c>
      <c r="B58" s="42" t="s">
        <v>60</v>
      </c>
      <c r="C58" s="379" t="s">
        <v>92</v>
      </c>
      <c r="D58" s="381"/>
      <c r="E58" s="381"/>
      <c r="F58" s="380"/>
      <c r="G58" s="42" t="s">
        <v>57</v>
      </c>
      <c r="H58" s="43" t="s">
        <v>131</v>
      </c>
    </row>
    <row r="59" spans="1:8" s="63" customFormat="1" ht="18" customHeight="1" x14ac:dyDescent="0.25">
      <c r="A59" s="1"/>
      <c r="B59" s="2"/>
      <c r="C59" s="223"/>
      <c r="D59" s="224"/>
      <c r="E59" s="224"/>
      <c r="F59" s="247"/>
      <c r="G59" s="2"/>
      <c r="H59" s="53"/>
    </row>
    <row r="60" spans="1:8" s="63" customFormat="1" ht="18" customHeight="1" x14ac:dyDescent="0.25">
      <c r="A60" s="1"/>
      <c r="B60" s="2"/>
      <c r="C60" s="223"/>
      <c r="D60" s="224"/>
      <c r="E60" s="224"/>
      <c r="F60" s="247"/>
      <c r="G60" s="2"/>
      <c r="H60" s="53"/>
    </row>
    <row r="61" spans="1:8" s="63" customFormat="1" ht="18" customHeight="1" x14ac:dyDescent="0.25">
      <c r="A61" s="1"/>
      <c r="B61" s="2"/>
      <c r="C61" s="223"/>
      <c r="D61" s="224"/>
      <c r="E61" s="224"/>
      <c r="F61" s="247"/>
      <c r="G61" s="2"/>
      <c r="H61" s="53"/>
    </row>
    <row r="62" spans="1:8" s="63" customFormat="1" ht="18" customHeight="1" x14ac:dyDescent="0.25">
      <c r="A62" s="1"/>
      <c r="B62" s="2"/>
      <c r="C62" s="223"/>
      <c r="D62" s="224"/>
      <c r="E62" s="224"/>
      <c r="F62" s="247"/>
      <c r="G62" s="2"/>
      <c r="H62" s="53"/>
    </row>
    <row r="63" spans="1:8" s="63" customFormat="1" ht="18" customHeight="1" x14ac:dyDescent="0.25">
      <c r="A63" s="1"/>
      <c r="B63" s="2"/>
      <c r="C63" s="223"/>
      <c r="D63" s="224"/>
      <c r="E63" s="224"/>
      <c r="F63" s="247"/>
      <c r="G63" s="2"/>
      <c r="H63" s="53"/>
    </row>
    <row r="64" spans="1:8" s="63" customFormat="1" ht="18" customHeight="1" x14ac:dyDescent="0.25">
      <c r="A64" s="1"/>
      <c r="B64" s="2"/>
      <c r="C64" s="223"/>
      <c r="D64" s="224"/>
      <c r="E64" s="224"/>
      <c r="F64" s="247"/>
      <c r="G64" s="2"/>
      <c r="H64" s="53"/>
    </row>
    <row r="65" spans="1:8" s="63" customFormat="1" ht="18" customHeight="1" x14ac:dyDescent="0.25">
      <c r="A65" s="1"/>
      <c r="B65" s="2"/>
      <c r="C65" s="223"/>
      <c r="D65" s="224"/>
      <c r="E65" s="224"/>
      <c r="F65" s="247"/>
      <c r="G65" s="2"/>
      <c r="H65" s="53"/>
    </row>
    <row r="66" spans="1:8" s="63" customFormat="1" ht="18" customHeight="1" x14ac:dyDescent="0.25">
      <c r="A66" s="1"/>
      <c r="B66" s="2"/>
      <c r="C66" s="223"/>
      <c r="D66" s="224"/>
      <c r="E66" s="224"/>
      <c r="F66" s="247"/>
      <c r="G66" s="2"/>
      <c r="H66" s="53"/>
    </row>
    <row r="67" spans="1:8" s="63" customFormat="1" ht="18" customHeight="1" x14ac:dyDescent="0.25">
      <c r="A67" s="1"/>
      <c r="B67" s="2"/>
      <c r="C67" s="223"/>
      <c r="D67" s="224"/>
      <c r="E67" s="224"/>
      <c r="F67" s="247"/>
      <c r="G67" s="2"/>
      <c r="H67" s="53"/>
    </row>
    <row r="68" spans="1:8" s="63" customFormat="1" ht="18" customHeight="1" x14ac:dyDescent="0.25">
      <c r="A68" s="1"/>
      <c r="B68" s="2"/>
      <c r="C68" s="223"/>
      <c r="D68" s="224"/>
      <c r="E68" s="224"/>
      <c r="F68" s="247"/>
      <c r="G68" s="2"/>
      <c r="H68" s="53"/>
    </row>
    <row r="69" spans="1:8" s="63" customFormat="1" ht="18" customHeight="1" x14ac:dyDescent="0.25">
      <c r="A69" s="1"/>
      <c r="B69" s="2"/>
      <c r="C69" s="223"/>
      <c r="D69" s="224"/>
      <c r="E69" s="224"/>
      <c r="F69" s="247"/>
      <c r="G69" s="13"/>
      <c r="H69" s="53"/>
    </row>
    <row r="70" spans="1:8" s="63" customFormat="1" ht="18" customHeight="1" x14ac:dyDescent="0.25">
      <c r="A70" s="1"/>
      <c r="B70" s="2"/>
      <c r="C70" s="223"/>
      <c r="D70" s="224"/>
      <c r="E70" s="224"/>
      <c r="F70" s="247"/>
      <c r="G70" s="13"/>
      <c r="H70" s="53"/>
    </row>
    <row r="71" spans="1:8" s="63" customFormat="1" ht="18" customHeight="1" thickBot="1" x14ac:dyDescent="0.3">
      <c r="A71" s="4"/>
      <c r="B71" s="5"/>
      <c r="C71" s="396"/>
      <c r="D71" s="251"/>
      <c r="E71" s="251"/>
      <c r="F71" s="252"/>
      <c r="G71" s="37"/>
      <c r="H71" s="54"/>
    </row>
    <row r="72" spans="1:8" s="63" customFormat="1" ht="30" customHeight="1" thickBot="1" x14ac:dyDescent="0.3">
      <c r="A72" s="211" t="s">
        <v>435</v>
      </c>
      <c r="B72" s="212"/>
      <c r="C72" s="212"/>
      <c r="D72" s="212"/>
      <c r="E72" s="212"/>
      <c r="F72" s="212"/>
      <c r="G72" s="212"/>
      <c r="H72" s="213"/>
    </row>
    <row r="73" spans="1:8" s="63" customFormat="1" ht="30" customHeight="1" x14ac:dyDescent="0.25">
      <c r="A73" s="484" t="s">
        <v>469</v>
      </c>
      <c r="B73" s="485"/>
      <c r="C73" s="485"/>
      <c r="D73" s="485"/>
      <c r="E73" s="485"/>
      <c r="F73" s="485"/>
      <c r="G73" s="485"/>
      <c r="H73" s="486"/>
    </row>
    <row r="74" spans="1:8" s="63" customFormat="1" ht="18" customHeight="1" x14ac:dyDescent="0.25">
      <c r="A74" s="487" t="s">
        <v>493</v>
      </c>
      <c r="B74" s="488"/>
      <c r="C74" s="488"/>
      <c r="D74" s="488"/>
      <c r="E74" s="488"/>
      <c r="F74" s="488"/>
      <c r="G74" s="488"/>
      <c r="H74" s="489"/>
    </row>
    <row r="75" spans="1:8" s="63" customFormat="1" ht="18" customHeight="1" x14ac:dyDescent="0.25">
      <c r="A75" s="394" t="s">
        <v>494</v>
      </c>
      <c r="B75" s="381"/>
      <c r="C75" s="381"/>
      <c r="D75" s="380"/>
      <c r="E75" s="379" t="s">
        <v>495</v>
      </c>
      <c r="F75" s="381"/>
      <c r="G75" s="381"/>
      <c r="H75" s="493"/>
    </row>
    <row r="76" spans="1:8" s="63" customFormat="1" ht="18" customHeight="1" x14ac:dyDescent="0.25">
      <c r="A76" s="41" t="s">
        <v>496</v>
      </c>
      <c r="B76" s="42" t="s">
        <v>40</v>
      </c>
      <c r="C76" s="42" t="s">
        <v>497</v>
      </c>
      <c r="D76" s="42" t="s">
        <v>473</v>
      </c>
      <c r="E76" s="42" t="s">
        <v>496</v>
      </c>
      <c r="F76" s="42" t="s">
        <v>40</v>
      </c>
      <c r="G76" s="42" t="s">
        <v>497</v>
      </c>
      <c r="H76" s="43" t="s">
        <v>473</v>
      </c>
    </row>
    <row r="77" spans="1:8" s="63" customFormat="1" ht="18" customHeight="1" x14ac:dyDescent="0.25">
      <c r="A77" s="41" t="s">
        <v>181</v>
      </c>
      <c r="B77" s="2"/>
      <c r="C77" s="2"/>
      <c r="D77" s="19" t="e">
        <f>(C77-B77)/B77</f>
        <v>#DIV/0!</v>
      </c>
      <c r="E77" s="42" t="s">
        <v>181</v>
      </c>
      <c r="F77" s="2"/>
      <c r="G77" s="2"/>
      <c r="H77" s="127" t="e">
        <f t="shared" ref="H77:H79" si="4">(G77-F77)/F77</f>
        <v>#DIV/0!</v>
      </c>
    </row>
    <row r="78" spans="1:8" s="63" customFormat="1" ht="18" customHeight="1" x14ac:dyDescent="0.25">
      <c r="A78" s="41" t="s">
        <v>498</v>
      </c>
      <c r="B78" s="2"/>
      <c r="C78" s="2"/>
      <c r="D78" s="19" t="e">
        <f t="shared" ref="D78:D79" si="5">(C78-B78)/B78</f>
        <v>#DIV/0!</v>
      </c>
      <c r="E78" s="42" t="s">
        <v>498</v>
      </c>
      <c r="F78" s="2"/>
      <c r="G78" s="2"/>
      <c r="H78" s="127" t="e">
        <f t="shared" si="4"/>
        <v>#DIV/0!</v>
      </c>
    </row>
    <row r="79" spans="1:8" s="63" customFormat="1" ht="18" customHeight="1" x14ac:dyDescent="0.25">
      <c r="A79" s="41" t="s">
        <v>499</v>
      </c>
      <c r="B79" s="2"/>
      <c r="C79" s="2"/>
      <c r="D79" s="19" t="e">
        <f t="shared" si="5"/>
        <v>#DIV/0!</v>
      </c>
      <c r="E79" s="42" t="s">
        <v>499</v>
      </c>
      <c r="F79" s="2"/>
      <c r="G79" s="2"/>
      <c r="H79" s="127" t="e">
        <f t="shared" si="4"/>
        <v>#DIV/0!</v>
      </c>
    </row>
    <row r="80" spans="1:8" s="63" customFormat="1" ht="18" customHeight="1" x14ac:dyDescent="0.25">
      <c r="A80" s="394" t="s">
        <v>500</v>
      </c>
      <c r="B80" s="381"/>
      <c r="C80" s="381"/>
      <c r="D80" s="380"/>
      <c r="E80" s="379" t="s">
        <v>501</v>
      </c>
      <c r="F80" s="381"/>
      <c r="G80" s="381"/>
      <c r="H80" s="493"/>
    </row>
    <row r="81" spans="1:8" s="63" customFormat="1" ht="18" customHeight="1" x14ac:dyDescent="0.25">
      <c r="A81" s="41" t="s">
        <v>496</v>
      </c>
      <c r="B81" s="42" t="s">
        <v>40</v>
      </c>
      <c r="C81" s="42" t="s">
        <v>497</v>
      </c>
      <c r="D81" s="42" t="s">
        <v>473</v>
      </c>
      <c r="E81" s="42" t="s">
        <v>496</v>
      </c>
      <c r="F81" s="42" t="s">
        <v>40</v>
      </c>
      <c r="G81" s="42" t="s">
        <v>497</v>
      </c>
      <c r="H81" s="43" t="s">
        <v>473</v>
      </c>
    </row>
    <row r="82" spans="1:8" s="63" customFormat="1" ht="18" customHeight="1" x14ac:dyDescent="0.25">
      <c r="A82" s="41" t="s">
        <v>181</v>
      </c>
      <c r="B82" s="2"/>
      <c r="C82" s="2"/>
      <c r="D82" s="19" t="e">
        <f>(C82-B82)/B82</f>
        <v>#DIV/0!</v>
      </c>
      <c r="E82" s="42" t="s">
        <v>181</v>
      </c>
      <c r="F82" s="2"/>
      <c r="G82" s="2"/>
      <c r="H82" s="127" t="e">
        <f t="shared" ref="H82:H84" si="6">(G82-F82)/F82</f>
        <v>#DIV/0!</v>
      </c>
    </row>
    <row r="83" spans="1:8" s="63" customFormat="1" ht="18" customHeight="1" x14ac:dyDescent="0.25">
      <c r="A83" s="41" t="s">
        <v>498</v>
      </c>
      <c r="B83" s="2"/>
      <c r="C83" s="2"/>
      <c r="D83" s="19" t="e">
        <f t="shared" ref="D83:D84" si="7">(C83-B83)/B83</f>
        <v>#DIV/0!</v>
      </c>
      <c r="E83" s="42" t="s">
        <v>498</v>
      </c>
      <c r="F83" s="2"/>
      <c r="G83" s="2"/>
      <c r="H83" s="127" t="e">
        <f t="shared" si="6"/>
        <v>#DIV/0!</v>
      </c>
    </row>
    <row r="84" spans="1:8" s="63" customFormat="1" ht="18" customHeight="1" x14ac:dyDescent="0.25">
      <c r="A84" s="41" t="s">
        <v>499</v>
      </c>
      <c r="B84" s="2"/>
      <c r="C84" s="2"/>
      <c r="D84" s="19" t="e">
        <f t="shared" si="7"/>
        <v>#DIV/0!</v>
      </c>
      <c r="E84" s="42" t="s">
        <v>499</v>
      </c>
      <c r="F84" s="2"/>
      <c r="G84" s="2"/>
      <c r="H84" s="127" t="e">
        <f t="shared" si="6"/>
        <v>#DIV/0!</v>
      </c>
    </row>
    <row r="85" spans="1:8" s="63" customFormat="1" ht="18" customHeight="1" x14ac:dyDescent="0.25">
      <c r="A85" s="41" t="s">
        <v>130</v>
      </c>
      <c r="B85" s="42" t="s">
        <v>60</v>
      </c>
      <c r="C85" s="379" t="s">
        <v>92</v>
      </c>
      <c r="D85" s="381"/>
      <c r="E85" s="381"/>
      <c r="F85" s="380"/>
      <c r="G85" s="42" t="s">
        <v>57</v>
      </c>
      <c r="H85" s="43" t="s">
        <v>131</v>
      </c>
    </row>
    <row r="86" spans="1:8" s="63" customFormat="1" ht="18" customHeight="1" x14ac:dyDescent="0.25">
      <c r="A86" s="1"/>
      <c r="B86" s="2"/>
      <c r="C86" s="223"/>
      <c r="D86" s="224"/>
      <c r="E86" s="224"/>
      <c r="F86" s="247"/>
      <c r="G86" s="2"/>
      <c r="H86" s="53"/>
    </row>
    <row r="87" spans="1:8" s="63" customFormat="1" ht="18" customHeight="1" x14ac:dyDescent="0.25">
      <c r="A87" s="1"/>
      <c r="B87" s="2"/>
      <c r="C87" s="223"/>
      <c r="D87" s="224"/>
      <c r="E87" s="224"/>
      <c r="F87" s="247"/>
      <c r="G87" s="2"/>
      <c r="H87" s="53"/>
    </row>
    <row r="88" spans="1:8" s="63" customFormat="1" ht="18" customHeight="1" x14ac:dyDescent="0.25">
      <c r="A88" s="1"/>
      <c r="B88" s="2"/>
      <c r="C88" s="223"/>
      <c r="D88" s="224"/>
      <c r="E88" s="224"/>
      <c r="F88" s="247"/>
      <c r="G88" s="2"/>
      <c r="H88" s="53"/>
    </row>
    <row r="89" spans="1:8" s="63" customFormat="1" ht="18" customHeight="1" x14ac:dyDescent="0.25">
      <c r="A89" s="1"/>
      <c r="B89" s="2"/>
      <c r="C89" s="223"/>
      <c r="D89" s="224"/>
      <c r="E89" s="224"/>
      <c r="F89" s="247"/>
      <c r="G89" s="2"/>
      <c r="H89" s="53"/>
    </row>
    <row r="90" spans="1:8" s="63" customFormat="1" ht="18" customHeight="1" x14ac:dyDescent="0.25">
      <c r="A90" s="1"/>
      <c r="B90" s="2"/>
      <c r="C90" s="223"/>
      <c r="D90" s="224"/>
      <c r="E90" s="224"/>
      <c r="F90" s="247"/>
      <c r="G90" s="2"/>
      <c r="H90" s="53"/>
    </row>
    <row r="91" spans="1:8" s="63" customFormat="1" ht="18" customHeight="1" x14ac:dyDescent="0.25">
      <c r="A91" s="1"/>
      <c r="B91" s="2"/>
      <c r="C91" s="223"/>
      <c r="D91" s="224"/>
      <c r="E91" s="224"/>
      <c r="F91" s="247"/>
      <c r="G91" s="2"/>
      <c r="H91" s="53"/>
    </row>
    <row r="92" spans="1:8" s="63" customFormat="1" ht="18" customHeight="1" x14ac:dyDescent="0.25">
      <c r="A92" s="1"/>
      <c r="B92" s="2"/>
      <c r="C92" s="223"/>
      <c r="D92" s="224"/>
      <c r="E92" s="224"/>
      <c r="F92" s="247"/>
      <c r="G92" s="2"/>
      <c r="H92" s="53"/>
    </row>
    <row r="93" spans="1:8" s="63" customFormat="1" ht="18" customHeight="1" x14ac:dyDescent="0.25">
      <c r="A93" s="1"/>
      <c r="B93" s="2"/>
      <c r="C93" s="223"/>
      <c r="D93" s="224"/>
      <c r="E93" s="224"/>
      <c r="F93" s="247"/>
      <c r="G93" s="2"/>
      <c r="H93" s="53"/>
    </row>
    <row r="94" spans="1:8" s="63" customFormat="1" ht="18" customHeight="1" x14ac:dyDescent="0.25">
      <c r="A94" s="1"/>
      <c r="B94" s="2"/>
      <c r="C94" s="223"/>
      <c r="D94" s="224"/>
      <c r="E94" s="224"/>
      <c r="F94" s="247"/>
      <c r="G94" s="2"/>
      <c r="H94" s="53"/>
    </row>
    <row r="95" spans="1:8" s="63" customFormat="1" ht="18" customHeight="1" x14ac:dyDescent="0.25">
      <c r="A95" s="1"/>
      <c r="B95" s="2"/>
      <c r="C95" s="223"/>
      <c r="D95" s="224"/>
      <c r="E95" s="224"/>
      <c r="F95" s="247"/>
      <c r="G95" s="2"/>
      <c r="H95" s="53"/>
    </row>
    <row r="96" spans="1:8" s="63" customFormat="1" ht="18" customHeight="1" x14ac:dyDescent="0.25">
      <c r="A96" s="1"/>
      <c r="B96" s="2"/>
      <c r="C96" s="223"/>
      <c r="D96" s="224"/>
      <c r="E96" s="224"/>
      <c r="F96" s="247"/>
      <c r="G96" s="2"/>
      <c r="H96" s="53"/>
    </row>
    <row r="97" spans="1:8" s="63" customFormat="1" ht="18" customHeight="1" x14ac:dyDescent="0.25">
      <c r="A97" s="1"/>
      <c r="B97" s="2"/>
      <c r="C97" s="223"/>
      <c r="D97" s="224"/>
      <c r="E97" s="224"/>
      <c r="F97" s="247"/>
      <c r="G97" s="2"/>
      <c r="H97" s="53"/>
    </row>
    <row r="98" spans="1:8" s="63" customFormat="1" ht="18" customHeight="1" x14ac:dyDescent="0.25">
      <c r="A98" s="1"/>
      <c r="B98" s="2"/>
      <c r="C98" s="223"/>
      <c r="D98" s="224"/>
      <c r="E98" s="224"/>
      <c r="F98" s="247"/>
      <c r="G98" s="2"/>
      <c r="H98" s="53"/>
    </row>
    <row r="99" spans="1:8" s="63" customFormat="1" ht="18" customHeight="1" x14ac:dyDescent="0.25">
      <c r="A99" s="1"/>
      <c r="B99" s="2"/>
      <c r="C99" s="223"/>
      <c r="D99" s="224"/>
      <c r="E99" s="224"/>
      <c r="F99" s="247"/>
      <c r="G99" s="2"/>
      <c r="H99" s="53"/>
    </row>
    <row r="100" spans="1:8" s="63" customFormat="1" ht="18" customHeight="1" x14ac:dyDescent="0.25">
      <c r="A100" s="1"/>
      <c r="B100" s="2"/>
      <c r="C100" s="223"/>
      <c r="D100" s="224"/>
      <c r="E100" s="224"/>
      <c r="F100" s="247"/>
      <c r="G100" s="2"/>
      <c r="H100" s="53"/>
    </row>
    <row r="101" spans="1:8" s="63" customFormat="1" ht="18" customHeight="1" x14ac:dyDescent="0.25">
      <c r="A101" s="1"/>
      <c r="B101" s="2"/>
      <c r="C101" s="223"/>
      <c r="D101" s="224"/>
      <c r="E101" s="224"/>
      <c r="F101" s="247"/>
      <c r="G101" s="2"/>
      <c r="H101" s="53"/>
    </row>
    <row r="102" spans="1:8" s="63" customFormat="1" ht="18" customHeight="1" x14ac:dyDescent="0.25">
      <c r="A102" s="1"/>
      <c r="B102" s="2"/>
      <c r="C102" s="223"/>
      <c r="D102" s="224"/>
      <c r="E102" s="224"/>
      <c r="F102" s="247"/>
      <c r="G102" s="2"/>
      <c r="H102" s="53"/>
    </row>
    <row r="103" spans="1:8" s="63" customFormat="1" ht="18" customHeight="1" x14ac:dyDescent="0.25">
      <c r="A103" s="1"/>
      <c r="B103" s="2"/>
      <c r="C103" s="223"/>
      <c r="D103" s="224"/>
      <c r="E103" s="224"/>
      <c r="F103" s="247"/>
      <c r="G103" s="2"/>
      <c r="H103" s="53"/>
    </row>
    <row r="104" spans="1:8" s="63" customFormat="1" ht="18" customHeight="1" x14ac:dyDescent="0.25">
      <c r="A104" s="1"/>
      <c r="B104" s="2"/>
      <c r="C104" s="223"/>
      <c r="D104" s="224"/>
      <c r="E104" s="224"/>
      <c r="F104" s="247"/>
      <c r="G104" s="2"/>
      <c r="H104" s="53"/>
    </row>
    <row r="105" spans="1:8" s="63" customFormat="1" ht="18" customHeight="1" x14ac:dyDescent="0.25">
      <c r="A105" s="1"/>
      <c r="B105" s="2"/>
      <c r="C105" s="223"/>
      <c r="D105" s="224"/>
      <c r="E105" s="224"/>
      <c r="F105" s="247"/>
      <c r="G105" s="2"/>
      <c r="H105" s="53"/>
    </row>
    <row r="106" spans="1:8" s="63" customFormat="1" ht="18" customHeight="1" x14ac:dyDescent="0.25">
      <c r="A106" s="1"/>
      <c r="B106" s="2"/>
      <c r="C106" s="223"/>
      <c r="D106" s="224"/>
      <c r="E106" s="224"/>
      <c r="F106" s="247"/>
      <c r="G106" s="2"/>
      <c r="H106" s="53"/>
    </row>
    <row r="107" spans="1:8" s="63" customFormat="1" ht="18" customHeight="1" thickBot="1" x14ac:dyDescent="0.3">
      <c r="A107" s="4"/>
      <c r="B107" s="5"/>
      <c r="C107" s="396"/>
      <c r="D107" s="251"/>
      <c r="E107" s="251"/>
      <c r="F107" s="252"/>
      <c r="G107" s="5"/>
      <c r="H107" s="54"/>
    </row>
    <row r="108" spans="1:8" s="63" customFormat="1" ht="30" customHeight="1" x14ac:dyDescent="0.25">
      <c r="A108" s="446" t="s">
        <v>435</v>
      </c>
      <c r="B108" s="447"/>
      <c r="C108" s="447"/>
      <c r="D108" s="447"/>
      <c r="E108" s="447"/>
      <c r="F108" s="447"/>
      <c r="G108" s="447"/>
      <c r="H108" s="448"/>
    </row>
    <row r="109" spans="1:8" s="63" customFormat="1" ht="30" customHeight="1" x14ac:dyDescent="0.25">
      <c r="A109" s="449" t="s">
        <v>436</v>
      </c>
      <c r="B109" s="450"/>
      <c r="C109" s="450"/>
      <c r="D109" s="450"/>
      <c r="E109" s="450"/>
      <c r="F109" s="450"/>
      <c r="G109" s="450"/>
      <c r="H109" s="451"/>
    </row>
    <row r="110" spans="1:8" s="63" customFormat="1" ht="18" customHeight="1" x14ac:dyDescent="0.25">
      <c r="A110" s="41" t="s">
        <v>130</v>
      </c>
      <c r="B110" s="42" t="s">
        <v>60</v>
      </c>
      <c r="C110" s="379" t="s">
        <v>92</v>
      </c>
      <c r="D110" s="381"/>
      <c r="E110" s="381"/>
      <c r="F110" s="380"/>
      <c r="G110" s="42" t="s">
        <v>57</v>
      </c>
      <c r="H110" s="43" t="s">
        <v>131</v>
      </c>
    </row>
    <row r="111" spans="1:8" s="63" customFormat="1" ht="18" customHeight="1" x14ac:dyDescent="0.25">
      <c r="A111" s="101"/>
      <c r="B111" s="102"/>
      <c r="C111" s="439"/>
      <c r="D111" s="440"/>
      <c r="E111" s="440"/>
      <c r="F111" s="441"/>
      <c r="G111" s="102"/>
      <c r="H111" s="103"/>
    </row>
    <row r="112" spans="1:8" s="63" customFormat="1" ht="18" customHeight="1" x14ac:dyDescent="0.25">
      <c r="A112" s="101"/>
      <c r="B112" s="102"/>
      <c r="C112" s="439"/>
      <c r="D112" s="440"/>
      <c r="E112" s="440"/>
      <c r="F112" s="441"/>
      <c r="G112" s="102"/>
      <c r="H112" s="103"/>
    </row>
    <row r="113" spans="1:8" s="63" customFormat="1" ht="18" customHeight="1" x14ac:dyDescent="0.25">
      <c r="A113" s="101"/>
      <c r="B113" s="102"/>
      <c r="C113" s="439"/>
      <c r="D113" s="440"/>
      <c r="E113" s="440"/>
      <c r="F113" s="441"/>
      <c r="G113" s="102"/>
      <c r="H113" s="103"/>
    </row>
    <row r="114" spans="1:8" s="63" customFormat="1" ht="18" customHeight="1" x14ac:dyDescent="0.25">
      <c r="A114" s="101"/>
      <c r="B114" s="102"/>
      <c r="C114" s="439"/>
      <c r="D114" s="440"/>
      <c r="E114" s="440"/>
      <c r="F114" s="441"/>
      <c r="G114" s="102"/>
      <c r="H114" s="103"/>
    </row>
    <row r="115" spans="1:8" s="63" customFormat="1" ht="18" customHeight="1" x14ac:dyDescent="0.25">
      <c r="A115" s="101"/>
      <c r="B115" s="102"/>
      <c r="C115" s="439"/>
      <c r="D115" s="440"/>
      <c r="E115" s="440"/>
      <c r="F115" s="441"/>
      <c r="G115" s="102"/>
      <c r="H115" s="103"/>
    </row>
    <row r="116" spans="1:8" s="63" customFormat="1" ht="18" customHeight="1" x14ac:dyDescent="0.25">
      <c r="A116" s="101"/>
      <c r="B116" s="102"/>
      <c r="C116" s="439"/>
      <c r="D116" s="440"/>
      <c r="E116" s="440"/>
      <c r="F116" s="441"/>
      <c r="G116" s="102"/>
      <c r="H116" s="103"/>
    </row>
    <row r="117" spans="1:8" s="63" customFormat="1" ht="18" customHeight="1" x14ac:dyDescent="0.25">
      <c r="A117" s="442" t="s">
        <v>437</v>
      </c>
      <c r="B117" s="443"/>
      <c r="C117" s="443"/>
      <c r="D117" s="443"/>
      <c r="E117" s="443"/>
      <c r="F117" s="104" t="s">
        <v>438</v>
      </c>
      <c r="G117" s="104" t="s">
        <v>439</v>
      </c>
      <c r="H117" s="105" t="s">
        <v>440</v>
      </c>
    </row>
    <row r="118" spans="1:8" s="108" customFormat="1" ht="18" customHeight="1" x14ac:dyDescent="0.25">
      <c r="A118" s="444"/>
      <c r="B118" s="445"/>
      <c r="C118" s="445"/>
      <c r="D118" s="445"/>
      <c r="E118" s="445"/>
      <c r="F118" s="106"/>
      <c r="G118" s="106"/>
      <c r="H118" s="107"/>
    </row>
    <row r="119" spans="1:8" s="108" customFormat="1" ht="18" customHeight="1" x14ac:dyDescent="0.25">
      <c r="A119" s="444"/>
      <c r="B119" s="445"/>
      <c r="C119" s="445"/>
      <c r="D119" s="445"/>
      <c r="E119" s="445"/>
      <c r="F119" s="106"/>
      <c r="G119" s="106"/>
      <c r="H119" s="107"/>
    </row>
    <row r="120" spans="1:8" s="108" customFormat="1" ht="18" customHeight="1" x14ac:dyDescent="0.25">
      <c r="A120" s="444"/>
      <c r="B120" s="445"/>
      <c r="C120" s="445"/>
      <c r="D120" s="445"/>
      <c r="E120" s="445"/>
      <c r="F120" s="109"/>
      <c r="G120" s="109"/>
      <c r="H120" s="110"/>
    </row>
    <row r="121" spans="1:8" s="108" customFormat="1" ht="18" customHeight="1" x14ac:dyDescent="0.25">
      <c r="A121" s="442" t="s">
        <v>441</v>
      </c>
      <c r="B121" s="443"/>
      <c r="C121" s="443"/>
      <c r="D121" s="443"/>
      <c r="E121" s="443"/>
      <c r="F121" s="104" t="s">
        <v>438</v>
      </c>
      <c r="G121" s="104" t="s">
        <v>439</v>
      </c>
      <c r="H121" s="105" t="s">
        <v>440</v>
      </c>
    </row>
    <row r="122" spans="1:8" s="108" customFormat="1" ht="18" customHeight="1" x14ac:dyDescent="0.25">
      <c r="A122" s="444"/>
      <c r="B122" s="445"/>
      <c r="C122" s="445"/>
      <c r="D122" s="445"/>
      <c r="E122" s="445"/>
      <c r="F122" s="106"/>
      <c r="G122" s="106"/>
      <c r="H122" s="107"/>
    </row>
    <row r="123" spans="1:8" s="108" customFormat="1" ht="18" customHeight="1" x14ac:dyDescent="0.25">
      <c r="A123" s="444"/>
      <c r="B123" s="445"/>
      <c r="C123" s="445"/>
      <c r="D123" s="445"/>
      <c r="E123" s="445"/>
      <c r="F123" s="109"/>
      <c r="G123" s="109"/>
      <c r="H123" s="110"/>
    </row>
    <row r="124" spans="1:8" s="108" customFormat="1" ht="18" customHeight="1" x14ac:dyDescent="0.25">
      <c r="A124" s="444"/>
      <c r="B124" s="445"/>
      <c r="C124" s="445"/>
      <c r="D124" s="445"/>
      <c r="E124" s="445"/>
      <c r="F124" s="111"/>
      <c r="G124" s="111"/>
      <c r="H124" s="112"/>
    </row>
    <row r="125" spans="1:8" s="108" customFormat="1" ht="18" customHeight="1" x14ac:dyDescent="0.25">
      <c r="A125" s="444"/>
      <c r="B125" s="445"/>
      <c r="C125" s="445"/>
      <c r="D125" s="445"/>
      <c r="E125" s="445"/>
      <c r="F125" s="109"/>
      <c r="G125" s="109"/>
      <c r="H125" s="110"/>
    </row>
    <row r="126" spans="1:8" s="108" customFormat="1" ht="18" customHeight="1" x14ac:dyDescent="0.25">
      <c r="A126" s="442" t="s">
        <v>442</v>
      </c>
      <c r="B126" s="443"/>
      <c r="C126" s="443"/>
      <c r="D126" s="443"/>
      <c r="E126" s="443"/>
      <c r="F126" s="104" t="s">
        <v>438</v>
      </c>
      <c r="G126" s="104" t="s">
        <v>439</v>
      </c>
      <c r="H126" s="105" t="s">
        <v>440</v>
      </c>
    </row>
    <row r="127" spans="1:8" s="108" customFormat="1" ht="18" customHeight="1" x14ac:dyDescent="0.25">
      <c r="A127" s="444"/>
      <c r="B127" s="445"/>
      <c r="C127" s="445"/>
      <c r="D127" s="445"/>
      <c r="E127" s="445"/>
      <c r="F127" s="109"/>
      <c r="G127" s="109"/>
      <c r="H127" s="110"/>
    </row>
    <row r="128" spans="1:8" s="108" customFormat="1" ht="18" customHeight="1" x14ac:dyDescent="0.25">
      <c r="A128" s="444"/>
      <c r="B128" s="445"/>
      <c r="C128" s="445"/>
      <c r="D128" s="445"/>
      <c r="E128" s="445"/>
      <c r="F128" s="109"/>
      <c r="G128" s="109"/>
      <c r="H128" s="110"/>
    </row>
    <row r="129" spans="1:8" s="108" customFormat="1" ht="18" customHeight="1" x14ac:dyDescent="0.25">
      <c r="A129" s="442" t="s">
        <v>443</v>
      </c>
      <c r="B129" s="443"/>
      <c r="C129" s="443"/>
      <c r="D129" s="443"/>
      <c r="E129" s="443"/>
      <c r="F129" s="104" t="s">
        <v>438</v>
      </c>
      <c r="G129" s="104" t="s">
        <v>439</v>
      </c>
      <c r="H129" s="105" t="s">
        <v>440</v>
      </c>
    </row>
    <row r="130" spans="1:8" s="108" customFormat="1" ht="18" customHeight="1" x14ac:dyDescent="0.25">
      <c r="A130" s="444"/>
      <c r="B130" s="445"/>
      <c r="C130" s="445"/>
      <c r="D130" s="445"/>
      <c r="E130" s="445"/>
      <c r="F130" s="109"/>
      <c r="G130" s="109"/>
      <c r="H130" s="110"/>
    </row>
    <row r="131" spans="1:8" s="108" customFormat="1" ht="18" customHeight="1" x14ac:dyDescent="0.25">
      <c r="A131" s="444"/>
      <c r="B131" s="445"/>
      <c r="C131" s="445"/>
      <c r="D131" s="445"/>
      <c r="E131" s="445"/>
      <c r="F131" s="109"/>
      <c r="G131" s="109"/>
      <c r="H131" s="110"/>
    </row>
    <row r="132" spans="1:8" s="108" customFormat="1" ht="18" customHeight="1" x14ac:dyDescent="0.25">
      <c r="A132" s="442" t="s">
        <v>444</v>
      </c>
      <c r="B132" s="443"/>
      <c r="C132" s="443"/>
      <c r="D132" s="443"/>
      <c r="E132" s="443"/>
      <c r="F132" s="104" t="s">
        <v>438</v>
      </c>
      <c r="G132" s="104" t="s">
        <v>439</v>
      </c>
      <c r="H132" s="105" t="s">
        <v>440</v>
      </c>
    </row>
    <row r="133" spans="1:8" s="108" customFormat="1" ht="18" customHeight="1" x14ac:dyDescent="0.25">
      <c r="A133" s="452"/>
      <c r="B133" s="453"/>
      <c r="C133" s="453"/>
      <c r="D133" s="453"/>
      <c r="E133" s="453"/>
      <c r="F133" s="109"/>
      <c r="G133" s="109"/>
      <c r="H133" s="110"/>
    </row>
    <row r="134" spans="1:8" s="108" customFormat="1" ht="18" customHeight="1" x14ac:dyDescent="0.25">
      <c r="A134" s="452"/>
      <c r="B134" s="453"/>
      <c r="C134" s="453"/>
      <c r="D134" s="453"/>
      <c r="E134" s="453"/>
      <c r="F134" s="109"/>
      <c r="G134" s="109"/>
      <c r="H134" s="110"/>
    </row>
    <row r="135" spans="1:8" s="108" customFormat="1" ht="18" customHeight="1" x14ac:dyDescent="0.25">
      <c r="A135" s="442" t="s">
        <v>445</v>
      </c>
      <c r="B135" s="443"/>
      <c r="C135" s="443"/>
      <c r="D135" s="443"/>
      <c r="E135" s="443"/>
      <c r="F135" s="104" t="s">
        <v>438</v>
      </c>
      <c r="G135" s="104" t="s">
        <v>439</v>
      </c>
      <c r="H135" s="105" t="s">
        <v>440</v>
      </c>
    </row>
    <row r="136" spans="1:8" s="108" customFormat="1" ht="18" customHeight="1" x14ac:dyDescent="0.25">
      <c r="A136" s="452"/>
      <c r="B136" s="453"/>
      <c r="C136" s="453"/>
      <c r="D136" s="453"/>
      <c r="E136" s="453"/>
      <c r="F136" s="106"/>
      <c r="G136" s="106"/>
      <c r="H136" s="107"/>
    </row>
    <row r="137" spans="1:8" s="108" customFormat="1" ht="18" customHeight="1" x14ac:dyDescent="0.25">
      <c r="A137" s="442" t="s">
        <v>446</v>
      </c>
      <c r="B137" s="443"/>
      <c r="C137" s="443"/>
      <c r="D137" s="443"/>
      <c r="E137" s="443"/>
      <c r="F137" s="104" t="s">
        <v>438</v>
      </c>
      <c r="G137" s="104" t="s">
        <v>439</v>
      </c>
      <c r="H137" s="105" t="s">
        <v>440</v>
      </c>
    </row>
    <row r="138" spans="1:8" s="108" customFormat="1" ht="18" customHeight="1" x14ac:dyDescent="0.25">
      <c r="A138" s="452"/>
      <c r="B138" s="453"/>
      <c r="C138" s="453"/>
      <c r="D138" s="453"/>
      <c r="E138" s="453"/>
      <c r="F138" s="106"/>
      <c r="G138" s="106"/>
      <c r="H138" s="107"/>
    </row>
    <row r="139" spans="1:8" s="108" customFormat="1" ht="18" customHeight="1" x14ac:dyDescent="0.25">
      <c r="A139" s="452"/>
      <c r="B139" s="453"/>
      <c r="C139" s="453"/>
      <c r="D139" s="453"/>
      <c r="E139" s="453"/>
      <c r="F139" s="109"/>
      <c r="G139" s="109"/>
      <c r="H139" s="110"/>
    </row>
    <row r="140" spans="1:8" s="108" customFormat="1" ht="18" customHeight="1" x14ac:dyDescent="0.25">
      <c r="A140" s="442" t="s">
        <v>447</v>
      </c>
      <c r="B140" s="443"/>
      <c r="C140" s="443"/>
      <c r="D140" s="443"/>
      <c r="E140" s="443" t="s">
        <v>448</v>
      </c>
      <c r="F140" s="443"/>
      <c r="G140" s="443" t="s">
        <v>57</v>
      </c>
      <c r="H140" s="454"/>
    </row>
    <row r="141" spans="1:8" s="108" customFormat="1" ht="18" customHeight="1" x14ac:dyDescent="0.25">
      <c r="A141" s="452"/>
      <c r="B141" s="453"/>
      <c r="C141" s="453"/>
      <c r="D141" s="453"/>
      <c r="E141" s="455"/>
      <c r="F141" s="455"/>
      <c r="G141" s="455"/>
      <c r="H141" s="456"/>
    </row>
    <row r="142" spans="1:8" s="108" customFormat="1" ht="18" customHeight="1" x14ac:dyDescent="0.25">
      <c r="A142" s="452"/>
      <c r="B142" s="453"/>
      <c r="C142" s="453"/>
      <c r="D142" s="453"/>
      <c r="E142" s="455"/>
      <c r="F142" s="455"/>
      <c r="G142" s="455"/>
      <c r="H142" s="456"/>
    </row>
    <row r="143" spans="1:8" s="108" customFormat="1" ht="18" customHeight="1" thickBot="1" x14ac:dyDescent="0.3">
      <c r="A143" s="462"/>
      <c r="B143" s="463"/>
      <c r="C143" s="463"/>
      <c r="D143" s="463"/>
      <c r="E143" s="464"/>
      <c r="F143" s="464"/>
      <c r="G143" s="464"/>
      <c r="H143" s="465"/>
    </row>
    <row r="144" spans="1:8" s="63" customFormat="1" ht="30" customHeight="1" x14ac:dyDescent="0.25">
      <c r="A144" s="446" t="s">
        <v>435</v>
      </c>
      <c r="B144" s="447"/>
      <c r="C144" s="447"/>
      <c r="D144" s="447"/>
      <c r="E144" s="447"/>
      <c r="F144" s="447"/>
      <c r="G144" s="447"/>
      <c r="H144" s="448"/>
    </row>
    <row r="145" spans="1:8" s="63" customFormat="1" ht="30" customHeight="1" x14ac:dyDescent="0.25">
      <c r="A145" s="457" t="s">
        <v>449</v>
      </c>
      <c r="B145" s="458"/>
      <c r="C145" s="458"/>
      <c r="D145" s="458"/>
      <c r="E145" s="458"/>
      <c r="F145" s="458"/>
      <c r="G145" s="458"/>
      <c r="H145" s="459"/>
    </row>
    <row r="146" spans="1:8" s="108" customFormat="1" ht="18" customHeight="1" x14ac:dyDescent="0.25">
      <c r="A146" s="226" t="s">
        <v>450</v>
      </c>
      <c r="B146" s="227"/>
      <c r="C146" s="2"/>
      <c r="D146" s="113" t="s">
        <v>448</v>
      </c>
      <c r="E146" s="114"/>
      <c r="F146" s="460" t="s">
        <v>102</v>
      </c>
      <c r="G146" s="460"/>
      <c r="H146" s="115"/>
    </row>
    <row r="147" spans="1:8" s="108" customFormat="1" ht="18" customHeight="1" x14ac:dyDescent="0.25">
      <c r="A147" s="226" t="s">
        <v>451</v>
      </c>
      <c r="B147" s="227"/>
      <c r="C147" s="2"/>
      <c r="D147" s="113" t="s">
        <v>448</v>
      </c>
      <c r="E147" s="114"/>
      <c r="F147" s="375"/>
      <c r="G147" s="461"/>
      <c r="H147" s="397"/>
    </row>
    <row r="148" spans="1:8" s="108" customFormat="1" ht="18" customHeight="1" x14ac:dyDescent="0.25">
      <c r="A148" s="41" t="s">
        <v>130</v>
      </c>
      <c r="B148" s="42" t="s">
        <v>60</v>
      </c>
      <c r="C148" s="379" t="s">
        <v>92</v>
      </c>
      <c r="D148" s="381"/>
      <c r="E148" s="381"/>
      <c r="F148" s="380"/>
      <c r="G148" s="42" t="s">
        <v>57</v>
      </c>
      <c r="H148" s="43" t="s">
        <v>131</v>
      </c>
    </row>
    <row r="149" spans="1:8" s="108" customFormat="1" ht="18" customHeight="1" x14ac:dyDescent="0.25">
      <c r="A149" s="1"/>
      <c r="B149" s="2"/>
      <c r="C149" s="223"/>
      <c r="D149" s="224"/>
      <c r="E149" s="224"/>
      <c r="F149" s="247"/>
      <c r="G149" s="2"/>
      <c r="H149" s="53"/>
    </row>
    <row r="150" spans="1:8" s="108" customFormat="1" ht="18" customHeight="1" x14ac:dyDescent="0.25">
      <c r="A150" s="1"/>
      <c r="B150" s="2"/>
      <c r="C150" s="223"/>
      <c r="D150" s="224"/>
      <c r="E150" s="224"/>
      <c r="F150" s="247"/>
      <c r="G150" s="2"/>
      <c r="H150" s="53"/>
    </row>
    <row r="151" spans="1:8" s="108" customFormat="1" ht="18" customHeight="1" x14ac:dyDescent="0.25">
      <c r="A151" s="1"/>
      <c r="B151" s="2"/>
      <c r="C151" s="223"/>
      <c r="D151" s="224"/>
      <c r="E151" s="224"/>
      <c r="F151" s="247"/>
      <c r="G151" s="116"/>
      <c r="H151" s="53"/>
    </row>
    <row r="152" spans="1:8" s="108" customFormat="1" ht="18" customHeight="1" x14ac:dyDescent="0.25">
      <c r="A152" s="1"/>
      <c r="B152" s="2"/>
      <c r="C152" s="223"/>
      <c r="D152" s="224"/>
      <c r="E152" s="224"/>
      <c r="F152" s="247"/>
      <c r="G152" s="2"/>
      <c r="H152" s="53"/>
    </row>
    <row r="153" spans="1:8" s="108" customFormat="1" ht="18" customHeight="1" x14ac:dyDescent="0.25">
      <c r="A153" s="1"/>
      <c r="B153" s="2"/>
      <c r="C153" s="223"/>
      <c r="D153" s="224"/>
      <c r="E153" s="224"/>
      <c r="F153" s="247"/>
      <c r="G153" s="2"/>
      <c r="H153" s="53"/>
    </row>
    <row r="154" spans="1:8" s="108" customFormat="1" ht="18" customHeight="1" x14ac:dyDescent="0.25">
      <c r="A154" s="1"/>
      <c r="B154" s="2"/>
      <c r="C154" s="223"/>
      <c r="D154" s="224"/>
      <c r="E154" s="224"/>
      <c r="F154" s="247"/>
      <c r="G154" s="2"/>
      <c r="H154" s="53"/>
    </row>
    <row r="155" spans="1:8" s="108" customFormat="1" ht="18" customHeight="1" x14ac:dyDescent="0.25">
      <c r="A155" s="1"/>
      <c r="B155" s="2"/>
      <c r="C155" s="223"/>
      <c r="D155" s="224"/>
      <c r="E155" s="224"/>
      <c r="F155" s="247"/>
      <c r="G155" s="2"/>
      <c r="H155" s="53"/>
    </row>
    <row r="156" spans="1:8" s="108" customFormat="1" ht="18" customHeight="1" x14ac:dyDescent="0.25">
      <c r="A156" s="1"/>
      <c r="B156" s="2"/>
      <c r="C156" s="223"/>
      <c r="D156" s="224"/>
      <c r="E156" s="224"/>
      <c r="F156" s="247"/>
      <c r="G156" s="116"/>
      <c r="H156" s="53"/>
    </row>
    <row r="157" spans="1:8" s="108" customFormat="1" ht="18" customHeight="1" x14ac:dyDescent="0.25">
      <c r="A157" s="1"/>
      <c r="B157" s="2"/>
      <c r="C157" s="223"/>
      <c r="D157" s="224"/>
      <c r="E157" s="224"/>
      <c r="F157" s="247"/>
      <c r="G157" s="2"/>
      <c r="H157" s="53"/>
    </row>
    <row r="158" spans="1:8" s="108" customFormat="1" ht="18" customHeight="1" thickBot="1" x14ac:dyDescent="0.3">
      <c r="A158" s="4"/>
      <c r="B158" s="5"/>
      <c r="C158" s="396"/>
      <c r="D158" s="251"/>
      <c r="E158" s="251"/>
      <c r="F158" s="252"/>
      <c r="G158" s="5"/>
      <c r="H158" s="54"/>
    </row>
    <row r="159" spans="1:8" s="108" customFormat="1" ht="30" customHeight="1" x14ac:dyDescent="0.25">
      <c r="A159" s="446" t="s">
        <v>435</v>
      </c>
      <c r="B159" s="447"/>
      <c r="C159" s="447"/>
      <c r="D159" s="447"/>
      <c r="E159" s="447"/>
      <c r="F159" s="447"/>
      <c r="G159" s="447"/>
      <c r="H159" s="448"/>
    </row>
    <row r="160" spans="1:8" s="108" customFormat="1" ht="30" customHeight="1" x14ac:dyDescent="0.25">
      <c r="A160" s="469" t="s">
        <v>452</v>
      </c>
      <c r="B160" s="470"/>
      <c r="C160" s="470"/>
      <c r="D160" s="470"/>
      <c r="E160" s="470"/>
      <c r="F160" s="470"/>
      <c r="G160" s="470"/>
      <c r="H160" s="471"/>
    </row>
    <row r="161" spans="1:8" s="108" customFormat="1" ht="18" customHeight="1" x14ac:dyDescent="0.25">
      <c r="A161" s="394" t="s">
        <v>453</v>
      </c>
      <c r="B161" s="380"/>
      <c r="C161" s="2"/>
      <c r="D161" s="472" t="s">
        <v>454</v>
      </c>
      <c r="E161" s="473"/>
      <c r="F161" s="474"/>
      <c r="G161" s="117"/>
      <c r="H161" s="475"/>
    </row>
    <row r="162" spans="1:8" s="108" customFormat="1" ht="18" customHeight="1" x14ac:dyDescent="0.25">
      <c r="A162" s="394" t="s">
        <v>455</v>
      </c>
      <c r="B162" s="380"/>
      <c r="C162" s="2"/>
      <c r="D162" s="472" t="s">
        <v>456</v>
      </c>
      <c r="E162" s="473"/>
      <c r="F162" s="474"/>
      <c r="G162" s="2"/>
      <c r="H162" s="476"/>
    </row>
    <row r="163" spans="1:8" s="108" customFormat="1" ht="18" customHeight="1" x14ac:dyDescent="0.25">
      <c r="A163" s="394" t="s">
        <v>457</v>
      </c>
      <c r="B163" s="380"/>
      <c r="C163" s="2"/>
      <c r="D163" s="472" t="s">
        <v>458</v>
      </c>
      <c r="E163" s="473"/>
      <c r="F163" s="474"/>
      <c r="G163" s="2"/>
      <c r="H163" s="477"/>
    </row>
    <row r="164" spans="1:8" s="108" customFormat="1" ht="18" customHeight="1" x14ac:dyDescent="0.25">
      <c r="A164" s="41" t="s">
        <v>130</v>
      </c>
      <c r="B164" s="42" t="s">
        <v>60</v>
      </c>
      <c r="C164" s="379" t="s">
        <v>92</v>
      </c>
      <c r="D164" s="381"/>
      <c r="E164" s="381"/>
      <c r="F164" s="380"/>
      <c r="G164" s="42" t="s">
        <v>57</v>
      </c>
      <c r="H164" s="43" t="s">
        <v>131</v>
      </c>
    </row>
    <row r="165" spans="1:8" s="108" customFormat="1" ht="18" customHeight="1" x14ac:dyDescent="0.25">
      <c r="A165" s="118"/>
      <c r="B165" s="114"/>
      <c r="C165" s="466"/>
      <c r="D165" s="467"/>
      <c r="E165" s="467"/>
      <c r="F165" s="468"/>
      <c r="G165" s="114"/>
      <c r="H165" s="119"/>
    </row>
    <row r="166" spans="1:8" s="108" customFormat="1" ht="18" customHeight="1" x14ac:dyDescent="0.25">
      <c r="A166" s="118"/>
      <c r="B166" s="114"/>
      <c r="C166" s="466"/>
      <c r="D166" s="467"/>
      <c r="E166" s="467"/>
      <c r="F166" s="468"/>
      <c r="G166" s="114"/>
      <c r="H166" s="119"/>
    </row>
    <row r="167" spans="1:8" s="108" customFormat="1" ht="18" customHeight="1" x14ac:dyDescent="0.25">
      <c r="A167" s="118"/>
      <c r="B167" s="114"/>
      <c r="C167" s="466"/>
      <c r="D167" s="467"/>
      <c r="E167" s="467"/>
      <c r="F167" s="468"/>
      <c r="G167" s="114"/>
      <c r="H167" s="119"/>
    </row>
    <row r="168" spans="1:8" s="108" customFormat="1" ht="18" customHeight="1" x14ac:dyDescent="0.25">
      <c r="A168" s="118"/>
      <c r="B168" s="114"/>
      <c r="C168" s="466"/>
      <c r="D168" s="467"/>
      <c r="E168" s="467"/>
      <c r="F168" s="468"/>
      <c r="G168" s="114"/>
      <c r="H168" s="119"/>
    </row>
    <row r="169" spans="1:8" s="108" customFormat="1" ht="18" customHeight="1" x14ac:dyDescent="0.25">
      <c r="A169" s="118"/>
      <c r="B169" s="114"/>
      <c r="C169" s="466"/>
      <c r="D169" s="467"/>
      <c r="E169" s="467"/>
      <c r="F169" s="468"/>
      <c r="G169" s="114"/>
      <c r="H169" s="119"/>
    </row>
    <row r="170" spans="1:8" s="108" customFormat="1" ht="18" customHeight="1" x14ac:dyDescent="0.25">
      <c r="A170" s="118"/>
      <c r="B170" s="114"/>
      <c r="C170" s="466"/>
      <c r="D170" s="467"/>
      <c r="E170" s="467"/>
      <c r="F170" s="468"/>
      <c r="G170" s="114"/>
      <c r="H170" s="119"/>
    </row>
    <row r="171" spans="1:8" s="108" customFormat="1" ht="18" customHeight="1" x14ac:dyDescent="0.25">
      <c r="A171" s="118"/>
      <c r="B171" s="114"/>
      <c r="C171" s="466"/>
      <c r="D171" s="467"/>
      <c r="E171" s="467"/>
      <c r="F171" s="468"/>
      <c r="G171" s="114"/>
      <c r="H171" s="119"/>
    </row>
    <row r="172" spans="1:8" s="108" customFormat="1" ht="18" customHeight="1" x14ac:dyDescent="0.25">
      <c r="A172" s="118"/>
      <c r="B172" s="114"/>
      <c r="C172" s="466"/>
      <c r="D172" s="467"/>
      <c r="E172" s="467"/>
      <c r="F172" s="468"/>
      <c r="G172" s="114"/>
      <c r="H172" s="119"/>
    </row>
    <row r="173" spans="1:8" s="108" customFormat="1" ht="18" customHeight="1" x14ac:dyDescent="0.25">
      <c r="A173" s="118"/>
      <c r="B173" s="114"/>
      <c r="C173" s="466"/>
      <c r="D173" s="467"/>
      <c r="E173" s="467"/>
      <c r="F173" s="468"/>
      <c r="G173" s="114"/>
      <c r="H173" s="119"/>
    </row>
    <row r="174" spans="1:8" s="108" customFormat="1" ht="18" customHeight="1" x14ac:dyDescent="0.25">
      <c r="A174" s="118"/>
      <c r="B174" s="114"/>
      <c r="C174" s="466"/>
      <c r="D174" s="467"/>
      <c r="E174" s="467"/>
      <c r="F174" s="468"/>
      <c r="G174" s="114"/>
      <c r="H174" s="119"/>
    </row>
    <row r="175" spans="1:8" s="108" customFormat="1" ht="18" customHeight="1" x14ac:dyDescent="0.25">
      <c r="A175" s="118"/>
      <c r="B175" s="114"/>
      <c r="C175" s="466"/>
      <c r="D175" s="467"/>
      <c r="E175" s="467"/>
      <c r="F175" s="468"/>
      <c r="G175" s="114"/>
      <c r="H175" s="119"/>
    </row>
    <row r="176" spans="1:8" s="108" customFormat="1" ht="18" customHeight="1" x14ac:dyDescent="0.25">
      <c r="A176" s="118"/>
      <c r="B176" s="114"/>
      <c r="C176" s="466"/>
      <c r="D176" s="467"/>
      <c r="E176" s="467"/>
      <c r="F176" s="468"/>
      <c r="G176" s="114"/>
      <c r="H176" s="119"/>
    </row>
    <row r="177" spans="1:8" s="108" customFormat="1" ht="18" customHeight="1" thickBot="1" x14ac:dyDescent="0.3">
      <c r="A177" s="120"/>
      <c r="B177" s="121"/>
      <c r="C177" s="478"/>
      <c r="D177" s="479"/>
      <c r="E177" s="479"/>
      <c r="F177" s="480"/>
      <c r="G177" s="121"/>
      <c r="H177" s="122"/>
    </row>
    <row r="178" spans="1:8" s="108" customFormat="1" ht="30" customHeight="1" x14ac:dyDescent="0.25">
      <c r="A178" s="446" t="s">
        <v>435</v>
      </c>
      <c r="B178" s="447"/>
      <c r="C178" s="447"/>
      <c r="D178" s="447"/>
      <c r="E178" s="447"/>
      <c r="F178" s="447"/>
      <c r="G178" s="447"/>
      <c r="H178" s="448"/>
    </row>
    <row r="179" spans="1:8" s="108" customFormat="1" ht="30" customHeight="1" x14ac:dyDescent="0.25">
      <c r="A179" s="481" t="s">
        <v>459</v>
      </c>
      <c r="B179" s="482"/>
      <c r="C179" s="482"/>
      <c r="D179" s="482"/>
      <c r="E179" s="482"/>
      <c r="F179" s="482"/>
      <c r="G179" s="482"/>
      <c r="H179" s="483"/>
    </row>
    <row r="180" spans="1:8" s="108" customFormat="1" ht="18" customHeight="1" x14ac:dyDescent="0.25">
      <c r="A180" s="394" t="s">
        <v>460</v>
      </c>
      <c r="B180" s="380"/>
      <c r="C180" s="2"/>
      <c r="D180" s="472" t="s">
        <v>461</v>
      </c>
      <c r="E180" s="474"/>
      <c r="F180" s="123"/>
      <c r="G180" s="45" t="s">
        <v>462</v>
      </c>
      <c r="H180" s="115" t="e">
        <f t="shared" ref="H180:H182" si="8">(F180-C180)/C180</f>
        <v>#DIV/0!</v>
      </c>
    </row>
    <row r="181" spans="1:8" s="108" customFormat="1" ht="18" customHeight="1" x14ac:dyDescent="0.25">
      <c r="A181" s="394" t="s">
        <v>463</v>
      </c>
      <c r="B181" s="380"/>
      <c r="C181" s="2"/>
      <c r="D181" s="472" t="s">
        <v>464</v>
      </c>
      <c r="E181" s="474"/>
      <c r="F181" s="114"/>
      <c r="G181" s="45" t="s">
        <v>462</v>
      </c>
      <c r="H181" s="115" t="e">
        <f t="shared" si="8"/>
        <v>#DIV/0!</v>
      </c>
    </row>
    <row r="182" spans="1:8" s="108" customFormat="1" ht="18" customHeight="1" x14ac:dyDescent="0.25">
      <c r="A182" s="394" t="s">
        <v>465</v>
      </c>
      <c r="B182" s="380"/>
      <c r="C182" s="2"/>
      <c r="D182" s="379" t="s">
        <v>466</v>
      </c>
      <c r="E182" s="380"/>
      <c r="F182" s="114"/>
      <c r="G182" s="45" t="s">
        <v>462</v>
      </c>
      <c r="H182" s="115" t="e">
        <f t="shared" si="8"/>
        <v>#DIV/0!</v>
      </c>
    </row>
    <row r="183" spans="1:8" s="108" customFormat="1" ht="18" customHeight="1" x14ac:dyDescent="0.25">
      <c r="A183" s="41" t="s">
        <v>130</v>
      </c>
      <c r="B183" s="42" t="s">
        <v>60</v>
      </c>
      <c r="C183" s="379" t="s">
        <v>92</v>
      </c>
      <c r="D183" s="381"/>
      <c r="E183" s="381"/>
      <c r="F183" s="380"/>
      <c r="G183" s="42" t="s">
        <v>57</v>
      </c>
      <c r="H183" s="43" t="s">
        <v>131</v>
      </c>
    </row>
    <row r="184" spans="1:8" s="108" customFormat="1" ht="18" customHeight="1" x14ac:dyDescent="0.25">
      <c r="A184" s="118"/>
      <c r="B184" s="114"/>
      <c r="C184" s="466"/>
      <c r="D184" s="467"/>
      <c r="E184" s="467"/>
      <c r="F184" s="468"/>
      <c r="G184" s="124"/>
      <c r="H184" s="119"/>
    </row>
    <row r="185" spans="1:8" s="108" customFormat="1" ht="18" customHeight="1" x14ac:dyDescent="0.25">
      <c r="A185" s="118"/>
      <c r="B185" s="114"/>
      <c r="C185" s="466"/>
      <c r="D185" s="467"/>
      <c r="E185" s="467"/>
      <c r="F185" s="468"/>
      <c r="G185" s="114"/>
      <c r="H185" s="119"/>
    </row>
    <row r="186" spans="1:8" s="108" customFormat="1" ht="18" customHeight="1" x14ac:dyDescent="0.25">
      <c r="A186" s="118"/>
      <c r="B186" s="114"/>
      <c r="C186" s="466"/>
      <c r="D186" s="467"/>
      <c r="E186" s="467"/>
      <c r="F186" s="468"/>
      <c r="G186" s="114"/>
      <c r="H186" s="119"/>
    </row>
    <row r="187" spans="1:8" s="108" customFormat="1" ht="18" customHeight="1" x14ac:dyDescent="0.25">
      <c r="A187" s="118"/>
      <c r="B187" s="114"/>
      <c r="C187" s="466"/>
      <c r="D187" s="467"/>
      <c r="E187" s="467"/>
      <c r="F187" s="468"/>
      <c r="G187" s="114"/>
      <c r="H187" s="119"/>
    </row>
    <row r="188" spans="1:8" s="108" customFormat="1" ht="18" customHeight="1" x14ac:dyDescent="0.25">
      <c r="A188" s="118"/>
      <c r="B188" s="114"/>
      <c r="C188" s="466"/>
      <c r="D188" s="467"/>
      <c r="E188" s="467"/>
      <c r="F188" s="468"/>
      <c r="G188" s="114"/>
      <c r="H188" s="119"/>
    </row>
    <row r="189" spans="1:8" s="108" customFormat="1" ht="18" customHeight="1" thickBot="1" x14ac:dyDescent="0.3">
      <c r="A189" s="120"/>
      <c r="B189" s="121"/>
      <c r="C189" s="478"/>
      <c r="D189" s="479"/>
      <c r="E189" s="479"/>
      <c r="F189" s="480"/>
      <c r="G189" s="121"/>
      <c r="H189" s="122"/>
    </row>
    <row r="190" spans="1:8" s="108" customFormat="1" ht="30" customHeight="1" x14ac:dyDescent="0.25">
      <c r="A190" s="446" t="s">
        <v>435</v>
      </c>
      <c r="B190" s="447"/>
      <c r="C190" s="447"/>
      <c r="D190" s="447"/>
      <c r="E190" s="447"/>
      <c r="F190" s="447"/>
      <c r="G190" s="447"/>
      <c r="H190" s="448"/>
    </row>
    <row r="191" spans="1:8" s="108" customFormat="1" ht="30" customHeight="1" x14ac:dyDescent="0.25">
      <c r="A191" s="497" t="s">
        <v>467</v>
      </c>
      <c r="B191" s="498"/>
      <c r="C191" s="498"/>
      <c r="D191" s="498"/>
      <c r="E191" s="498"/>
      <c r="F191" s="498"/>
      <c r="G191" s="498"/>
      <c r="H191" s="499"/>
    </row>
    <row r="192" spans="1:8" s="108" customFormat="1" ht="18" customHeight="1" x14ac:dyDescent="0.25">
      <c r="A192" s="41" t="s">
        <v>130</v>
      </c>
      <c r="B192" s="42" t="s">
        <v>60</v>
      </c>
      <c r="C192" s="379" t="s">
        <v>92</v>
      </c>
      <c r="D192" s="381"/>
      <c r="E192" s="381"/>
      <c r="F192" s="380"/>
      <c r="G192" s="42" t="s">
        <v>57</v>
      </c>
      <c r="H192" s="43" t="s">
        <v>131</v>
      </c>
    </row>
    <row r="193" spans="1:8" s="108" customFormat="1" ht="18" customHeight="1" x14ac:dyDescent="0.25">
      <c r="A193" s="118"/>
      <c r="B193" s="114"/>
      <c r="C193" s="466"/>
      <c r="D193" s="467"/>
      <c r="E193" s="467"/>
      <c r="F193" s="468"/>
      <c r="G193" s="114"/>
      <c r="H193" s="119"/>
    </row>
    <row r="194" spans="1:8" s="108" customFormat="1" ht="18" customHeight="1" x14ac:dyDescent="0.25">
      <c r="A194" s="118"/>
      <c r="B194" s="114"/>
      <c r="C194" s="466"/>
      <c r="D194" s="467"/>
      <c r="E194" s="467"/>
      <c r="F194" s="468"/>
      <c r="G194" s="114"/>
      <c r="H194" s="119"/>
    </row>
    <row r="195" spans="1:8" s="108" customFormat="1" ht="18" customHeight="1" x14ac:dyDescent="0.25">
      <c r="A195" s="118"/>
      <c r="B195" s="114"/>
      <c r="C195" s="466"/>
      <c r="D195" s="467"/>
      <c r="E195" s="467"/>
      <c r="F195" s="468"/>
      <c r="G195" s="114"/>
      <c r="H195" s="119"/>
    </row>
    <row r="196" spans="1:8" s="108" customFormat="1" ht="18" customHeight="1" x14ac:dyDescent="0.25">
      <c r="A196" s="118"/>
      <c r="B196" s="114"/>
      <c r="C196" s="466"/>
      <c r="D196" s="467"/>
      <c r="E196" s="467"/>
      <c r="F196" s="468"/>
      <c r="G196" s="114"/>
      <c r="H196" s="119"/>
    </row>
    <row r="197" spans="1:8" s="108" customFormat="1" ht="18" customHeight="1" x14ac:dyDescent="0.25">
      <c r="A197" s="118"/>
      <c r="B197" s="114"/>
      <c r="C197" s="466"/>
      <c r="D197" s="467"/>
      <c r="E197" s="467"/>
      <c r="F197" s="468"/>
      <c r="G197" s="114"/>
      <c r="H197" s="119"/>
    </row>
    <row r="198" spans="1:8" s="108" customFormat="1" ht="18" customHeight="1" x14ac:dyDescent="0.25">
      <c r="A198" s="118"/>
      <c r="B198" s="114"/>
      <c r="C198" s="466"/>
      <c r="D198" s="467"/>
      <c r="E198" s="467"/>
      <c r="F198" s="468"/>
      <c r="G198" s="114"/>
      <c r="H198" s="119"/>
    </row>
    <row r="199" spans="1:8" s="108" customFormat="1" ht="18" customHeight="1" thickBot="1" x14ac:dyDescent="0.3">
      <c r="A199" s="120"/>
      <c r="B199" s="121"/>
      <c r="C199" s="478"/>
      <c r="D199" s="479"/>
      <c r="E199" s="479"/>
      <c r="F199" s="480"/>
      <c r="G199" s="121"/>
      <c r="H199" s="122"/>
    </row>
    <row r="200" spans="1:8" s="108" customFormat="1" ht="30" customHeight="1" x14ac:dyDescent="0.25">
      <c r="A200" s="446" t="s">
        <v>435</v>
      </c>
      <c r="B200" s="447"/>
      <c r="C200" s="447"/>
      <c r="D200" s="447"/>
      <c r="E200" s="447"/>
      <c r="F200" s="447"/>
      <c r="G200" s="447"/>
      <c r="H200" s="448"/>
    </row>
    <row r="201" spans="1:8" s="108" customFormat="1" ht="30" customHeight="1" x14ac:dyDescent="0.25">
      <c r="A201" s="494" t="s">
        <v>468</v>
      </c>
      <c r="B201" s="495"/>
      <c r="C201" s="495"/>
      <c r="D201" s="495"/>
      <c r="E201" s="495"/>
      <c r="F201" s="495"/>
      <c r="G201" s="495"/>
      <c r="H201" s="496"/>
    </row>
    <row r="202" spans="1:8" s="108" customFormat="1" ht="18" customHeight="1" x14ac:dyDescent="0.25">
      <c r="A202" s="41" t="s">
        <v>130</v>
      </c>
      <c r="B202" s="42" t="s">
        <v>60</v>
      </c>
      <c r="C202" s="379" t="s">
        <v>92</v>
      </c>
      <c r="D202" s="381"/>
      <c r="E202" s="381"/>
      <c r="F202" s="380"/>
      <c r="G202" s="42" t="s">
        <v>57</v>
      </c>
      <c r="H202" s="43" t="s">
        <v>131</v>
      </c>
    </row>
    <row r="203" spans="1:8" s="108" customFormat="1" ht="18" customHeight="1" x14ac:dyDescent="0.25">
      <c r="A203" s="118"/>
      <c r="B203" s="114"/>
      <c r="C203" s="466"/>
      <c r="D203" s="467"/>
      <c r="E203" s="467"/>
      <c r="F203" s="468"/>
      <c r="G203" s="114"/>
      <c r="H203" s="119"/>
    </row>
    <row r="204" spans="1:8" s="108" customFormat="1" ht="18" customHeight="1" x14ac:dyDescent="0.25">
      <c r="A204" s="118"/>
      <c r="B204" s="114"/>
      <c r="C204" s="466"/>
      <c r="D204" s="467"/>
      <c r="E204" s="467"/>
      <c r="F204" s="468"/>
      <c r="G204" s="114"/>
      <c r="H204" s="119"/>
    </row>
    <row r="205" spans="1:8" s="108" customFormat="1" ht="18" customHeight="1" x14ac:dyDescent="0.25">
      <c r="A205" s="118"/>
      <c r="B205" s="114"/>
      <c r="C205" s="466"/>
      <c r="D205" s="467"/>
      <c r="E205" s="467"/>
      <c r="F205" s="468"/>
      <c r="G205" s="114"/>
      <c r="H205" s="119"/>
    </row>
    <row r="206" spans="1:8" s="108" customFormat="1" ht="18" customHeight="1" x14ac:dyDescent="0.25">
      <c r="A206" s="118"/>
      <c r="B206" s="114"/>
      <c r="C206" s="466"/>
      <c r="D206" s="467"/>
      <c r="E206" s="467"/>
      <c r="F206" s="468"/>
      <c r="G206" s="114"/>
      <c r="H206" s="119"/>
    </row>
    <row r="207" spans="1:8" s="108" customFormat="1" ht="18" customHeight="1" x14ac:dyDescent="0.25">
      <c r="A207" s="118"/>
      <c r="B207" s="114"/>
      <c r="C207" s="466"/>
      <c r="D207" s="467"/>
      <c r="E207" s="467"/>
      <c r="F207" s="468"/>
      <c r="G207" s="114"/>
      <c r="H207" s="119"/>
    </row>
    <row r="208" spans="1:8" s="108" customFormat="1" ht="18" customHeight="1" x14ac:dyDescent="0.25">
      <c r="A208" s="118"/>
      <c r="B208" s="114"/>
      <c r="C208" s="466"/>
      <c r="D208" s="467"/>
      <c r="E208" s="467"/>
      <c r="F208" s="468"/>
      <c r="G208" s="114"/>
      <c r="H208" s="119"/>
    </row>
    <row r="209" spans="1:8" s="108" customFormat="1" ht="18" customHeight="1" x14ac:dyDescent="0.25">
      <c r="A209" s="118"/>
      <c r="B209" s="114"/>
      <c r="C209" s="466"/>
      <c r="D209" s="467"/>
      <c r="E209" s="467"/>
      <c r="F209" s="468"/>
      <c r="G209" s="114"/>
      <c r="H209" s="119"/>
    </row>
    <row r="210" spans="1:8" s="108" customFormat="1" ht="18" customHeight="1" x14ac:dyDescent="0.25">
      <c r="A210" s="118"/>
      <c r="B210" s="114"/>
      <c r="C210" s="466"/>
      <c r="D210" s="467"/>
      <c r="E210" s="467"/>
      <c r="F210" s="468"/>
      <c r="G210" s="114"/>
      <c r="H210" s="119"/>
    </row>
    <row r="211" spans="1:8" s="108" customFormat="1" ht="18" customHeight="1" thickBot="1" x14ac:dyDescent="0.3">
      <c r="A211" s="120"/>
      <c r="B211" s="121"/>
      <c r="C211" s="478"/>
      <c r="D211" s="479"/>
      <c r="E211" s="479"/>
      <c r="F211" s="480"/>
      <c r="G211" s="121"/>
      <c r="H211" s="122"/>
    </row>
  </sheetData>
  <mergeCells count="231">
    <mergeCell ref="C103:F103"/>
    <mergeCell ref="C104:F104"/>
    <mergeCell ref="C105:F105"/>
    <mergeCell ref="C106:F106"/>
    <mergeCell ref="C107:F107"/>
    <mergeCell ref="C209:F209"/>
    <mergeCell ref="C97:F97"/>
    <mergeCell ref="C98:F98"/>
    <mergeCell ref="C99:F99"/>
    <mergeCell ref="C100:F100"/>
    <mergeCell ref="C101:F101"/>
    <mergeCell ref="C102:F102"/>
    <mergeCell ref="C199:F199"/>
    <mergeCell ref="A200:H200"/>
    <mergeCell ref="A201:H201"/>
    <mergeCell ref="C202:F202"/>
    <mergeCell ref="A191:H191"/>
    <mergeCell ref="C192:F192"/>
    <mergeCell ref="C193:F193"/>
    <mergeCell ref="C194:F194"/>
    <mergeCell ref="C195:F195"/>
    <mergeCell ref="C196:F196"/>
    <mergeCell ref="C185:F185"/>
    <mergeCell ref="C186:F186"/>
    <mergeCell ref="C91:F91"/>
    <mergeCell ref="C92:F92"/>
    <mergeCell ref="C93:F93"/>
    <mergeCell ref="C94:F94"/>
    <mergeCell ref="C95:F95"/>
    <mergeCell ref="C96:F96"/>
    <mergeCell ref="C85:F85"/>
    <mergeCell ref="C86:F86"/>
    <mergeCell ref="C87:F87"/>
    <mergeCell ref="C88:F88"/>
    <mergeCell ref="C89:F89"/>
    <mergeCell ref="C90:F90"/>
    <mergeCell ref="A72:H72"/>
    <mergeCell ref="A73:H73"/>
    <mergeCell ref="A74:H74"/>
    <mergeCell ref="A75:D75"/>
    <mergeCell ref="E75:H75"/>
    <mergeCell ref="A80:D80"/>
    <mergeCell ref="E80:H80"/>
    <mergeCell ref="C66:F66"/>
    <mergeCell ref="C67:F67"/>
    <mergeCell ref="C68:F68"/>
    <mergeCell ref="C69:F69"/>
    <mergeCell ref="C70:F70"/>
    <mergeCell ref="C71:F71"/>
    <mergeCell ref="C60:F60"/>
    <mergeCell ref="C61:F61"/>
    <mergeCell ref="C62:F62"/>
    <mergeCell ref="C63:F63"/>
    <mergeCell ref="C64:F64"/>
    <mergeCell ref="C65:F65"/>
    <mergeCell ref="A56:B56"/>
    <mergeCell ref="D56:E56"/>
    <mergeCell ref="A57:B57"/>
    <mergeCell ref="D57:E57"/>
    <mergeCell ref="C58:F58"/>
    <mergeCell ref="C59:F59"/>
    <mergeCell ref="C50:F50"/>
    <mergeCell ref="C51:F51"/>
    <mergeCell ref="C52:F52"/>
    <mergeCell ref="C53:F53"/>
    <mergeCell ref="C54:F54"/>
    <mergeCell ref="A55:H55"/>
    <mergeCell ref="C44:F44"/>
    <mergeCell ref="C45:F45"/>
    <mergeCell ref="C46:F46"/>
    <mergeCell ref="C47:F47"/>
    <mergeCell ref="C48:F48"/>
    <mergeCell ref="C49:F49"/>
    <mergeCell ref="A39:B39"/>
    <mergeCell ref="D39:E39"/>
    <mergeCell ref="C40:F40"/>
    <mergeCell ref="C41:F41"/>
    <mergeCell ref="C42:F42"/>
    <mergeCell ref="C43:F43"/>
    <mergeCell ref="C33:F33"/>
    <mergeCell ref="C34:F34"/>
    <mergeCell ref="C35:F35"/>
    <mergeCell ref="A36:H36"/>
    <mergeCell ref="A37:H37"/>
    <mergeCell ref="A38:H38"/>
    <mergeCell ref="C27:F27"/>
    <mergeCell ref="C28:F28"/>
    <mergeCell ref="C29:F29"/>
    <mergeCell ref="C30:F30"/>
    <mergeCell ref="C31:F31"/>
    <mergeCell ref="C32:F32"/>
    <mergeCell ref="A23:B23"/>
    <mergeCell ref="D23:E23"/>
    <mergeCell ref="A24:B24"/>
    <mergeCell ref="D24:E24"/>
    <mergeCell ref="C25:F25"/>
    <mergeCell ref="C26:F26"/>
    <mergeCell ref="C17:F17"/>
    <mergeCell ref="C18:F18"/>
    <mergeCell ref="C19:F19"/>
    <mergeCell ref="C20:F20"/>
    <mergeCell ref="C21:F21"/>
    <mergeCell ref="A22:H22"/>
    <mergeCell ref="C11:F11"/>
    <mergeCell ref="C12:F12"/>
    <mergeCell ref="C13:F13"/>
    <mergeCell ref="C14:F14"/>
    <mergeCell ref="C15:F15"/>
    <mergeCell ref="C16:F16"/>
    <mergeCell ref="D6:E6"/>
    <mergeCell ref="A7:B7"/>
    <mergeCell ref="D7:E7"/>
    <mergeCell ref="C8:F8"/>
    <mergeCell ref="C9:F9"/>
    <mergeCell ref="C10:F10"/>
    <mergeCell ref="C210:F210"/>
    <mergeCell ref="C211:F211"/>
    <mergeCell ref="A1:H1"/>
    <mergeCell ref="A2:H2"/>
    <mergeCell ref="A3:H3"/>
    <mergeCell ref="A4:B4"/>
    <mergeCell ref="D4:E4"/>
    <mergeCell ref="A5:B5"/>
    <mergeCell ref="D5:E5"/>
    <mergeCell ref="A6:B6"/>
    <mergeCell ref="C203:F203"/>
    <mergeCell ref="C204:F204"/>
    <mergeCell ref="C205:F205"/>
    <mergeCell ref="C206:F206"/>
    <mergeCell ref="C207:F207"/>
    <mergeCell ref="C208:F208"/>
    <mergeCell ref="C197:F197"/>
    <mergeCell ref="C198:F198"/>
    <mergeCell ref="C187:F187"/>
    <mergeCell ref="C188:F188"/>
    <mergeCell ref="C189:F189"/>
    <mergeCell ref="A190:H190"/>
    <mergeCell ref="A181:B181"/>
    <mergeCell ref="D181:E181"/>
    <mergeCell ref="A182:B182"/>
    <mergeCell ref="D182:E182"/>
    <mergeCell ref="C183:F183"/>
    <mergeCell ref="C184:F184"/>
    <mergeCell ref="C176:F176"/>
    <mergeCell ref="C177:F177"/>
    <mergeCell ref="A178:H178"/>
    <mergeCell ref="A179:H179"/>
    <mergeCell ref="A180:B180"/>
    <mergeCell ref="D180:E180"/>
    <mergeCell ref="C170:F170"/>
    <mergeCell ref="C171:F171"/>
    <mergeCell ref="C172:F172"/>
    <mergeCell ref="C173:F173"/>
    <mergeCell ref="C174:F174"/>
    <mergeCell ref="C175:F175"/>
    <mergeCell ref="C164:F164"/>
    <mergeCell ref="C165:F165"/>
    <mergeCell ref="C166:F166"/>
    <mergeCell ref="C167:F167"/>
    <mergeCell ref="C168:F168"/>
    <mergeCell ref="C169:F169"/>
    <mergeCell ref="A160:H160"/>
    <mergeCell ref="A161:B161"/>
    <mergeCell ref="D161:F161"/>
    <mergeCell ref="H161:H163"/>
    <mergeCell ref="A162:B162"/>
    <mergeCell ref="D162:F162"/>
    <mergeCell ref="A163:B163"/>
    <mergeCell ref="D163:F163"/>
    <mergeCell ref="C154:F154"/>
    <mergeCell ref="C155:F155"/>
    <mergeCell ref="C156:F156"/>
    <mergeCell ref="C157:F157"/>
    <mergeCell ref="C158:F158"/>
    <mergeCell ref="A159:H159"/>
    <mergeCell ref="C148:F148"/>
    <mergeCell ref="C149:F149"/>
    <mergeCell ref="C150:F150"/>
    <mergeCell ref="C151:F151"/>
    <mergeCell ref="C152:F152"/>
    <mergeCell ref="C153:F153"/>
    <mergeCell ref="A144:H144"/>
    <mergeCell ref="A145:H145"/>
    <mergeCell ref="A146:B146"/>
    <mergeCell ref="F146:G146"/>
    <mergeCell ref="A147:B147"/>
    <mergeCell ref="F147:H147"/>
    <mergeCell ref="A142:D142"/>
    <mergeCell ref="E142:F142"/>
    <mergeCell ref="G142:H142"/>
    <mergeCell ref="A143:D143"/>
    <mergeCell ref="E143:F143"/>
    <mergeCell ref="G143:H143"/>
    <mergeCell ref="A138:E138"/>
    <mergeCell ref="A139:E139"/>
    <mergeCell ref="A140:D140"/>
    <mergeCell ref="E140:F140"/>
    <mergeCell ref="G140:H140"/>
    <mergeCell ref="A141:D141"/>
    <mergeCell ref="E141:F141"/>
    <mergeCell ref="G141:H141"/>
    <mergeCell ref="A132:E132"/>
    <mergeCell ref="A133:E133"/>
    <mergeCell ref="A134:E134"/>
    <mergeCell ref="A135:E135"/>
    <mergeCell ref="A136:E136"/>
    <mergeCell ref="A137:E137"/>
    <mergeCell ref="A126:E126"/>
    <mergeCell ref="A127:E127"/>
    <mergeCell ref="A128:E128"/>
    <mergeCell ref="A129:E129"/>
    <mergeCell ref="A130:E130"/>
    <mergeCell ref="A131:E131"/>
    <mergeCell ref="A120:E120"/>
    <mergeCell ref="A121:E121"/>
    <mergeCell ref="A122:E122"/>
    <mergeCell ref="A123:E123"/>
    <mergeCell ref="A124:E124"/>
    <mergeCell ref="A125:E125"/>
    <mergeCell ref="C114:F114"/>
    <mergeCell ref="C115:F115"/>
    <mergeCell ref="C116:F116"/>
    <mergeCell ref="A117:E117"/>
    <mergeCell ref="A118:E118"/>
    <mergeCell ref="A119:E119"/>
    <mergeCell ref="A108:H108"/>
    <mergeCell ref="A109:H109"/>
    <mergeCell ref="C110:F110"/>
    <mergeCell ref="C111:F111"/>
    <mergeCell ref="C112:F112"/>
    <mergeCell ref="C113:F113"/>
  </mergeCells>
  <printOptions horizontalCentered="1"/>
  <pageMargins left="0.7" right="0.7" top="1.06" bottom="0.6" header="0.3" footer="0.3"/>
  <pageSetup orientation="portrait" r:id="rId1"/>
  <headerFooter>
    <oddHeader>&amp;C&amp;G
&amp;"Century Gothic,Regular"&amp;14&amp;K002060Donor Engagement Worksheets</oddHeader>
    <oddFooter>&amp;C&amp;"Century Gothic,Regular"&amp;8&amp;K002060Learn how our award-winning software can help you achieve your fundraising goals at DonorView.com.</oddFooter>
  </headerFooter>
  <rowBreaks count="5" manualBreakCount="5">
    <brk id="35" max="16383" man="1"/>
    <brk id="71" max="16383" man="1"/>
    <brk id="107" max="16383" man="1"/>
    <brk id="143" max="16383" man="1"/>
    <brk id="177" max="16383" man="1"/>
  </row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E613-635C-4423-BD3B-DA82153B8642}">
  <dimension ref="A1:G195"/>
  <sheetViews>
    <sheetView tabSelected="1" zoomScaleNormal="100" workbookViewId="0">
      <selection activeCell="L13" sqref="L13"/>
    </sheetView>
  </sheetViews>
  <sheetFormatPr defaultColWidth="9.140625" defaultRowHeight="14.25" x14ac:dyDescent="0.25"/>
  <cols>
    <col min="1" max="7" width="12.7109375" style="74" customWidth="1"/>
    <col min="8" max="16384" width="9.140625" style="74"/>
  </cols>
  <sheetData>
    <row r="1" spans="1:7" ht="35.25" customHeight="1" thickBot="1" x14ac:dyDescent="0.3">
      <c r="A1" s="503" t="s">
        <v>583</v>
      </c>
      <c r="B1" s="504"/>
      <c r="C1" s="504"/>
      <c r="D1" s="504"/>
      <c r="E1" s="504"/>
      <c r="F1" s="504"/>
      <c r="G1" s="505"/>
    </row>
    <row r="2" spans="1:7" ht="24" customHeight="1" x14ac:dyDescent="0.25">
      <c r="A2" s="500" t="s">
        <v>574</v>
      </c>
      <c r="B2" s="501"/>
      <c r="C2" s="501"/>
      <c r="D2" s="501"/>
      <c r="E2" s="501"/>
      <c r="F2" s="501"/>
      <c r="G2" s="502"/>
    </row>
    <row r="3" spans="1:7" s="132" customFormat="1" ht="27.6" customHeight="1" x14ac:dyDescent="0.25">
      <c r="A3" s="268" t="s">
        <v>523</v>
      </c>
      <c r="B3" s="269"/>
      <c r="C3" s="2" t="s">
        <v>509</v>
      </c>
      <c r="D3" s="2" t="s">
        <v>518</v>
      </c>
      <c r="E3" s="2" t="s">
        <v>519</v>
      </c>
      <c r="F3" s="2" t="s">
        <v>473</v>
      </c>
      <c r="G3" s="3" t="s">
        <v>520</v>
      </c>
    </row>
    <row r="4" spans="1:7" ht="18" customHeight="1" x14ac:dyDescent="0.25">
      <c r="A4" s="515" t="s">
        <v>512</v>
      </c>
      <c r="B4" s="468"/>
      <c r="C4" s="114">
        <v>0</v>
      </c>
      <c r="D4" s="134">
        <v>0</v>
      </c>
      <c r="E4" s="134">
        <v>0</v>
      </c>
      <c r="F4" s="133" t="e">
        <f>(E4-D4)/D4</f>
        <v>#DIV/0!</v>
      </c>
      <c r="G4" s="135">
        <v>0</v>
      </c>
    </row>
    <row r="5" spans="1:7" ht="18" customHeight="1" x14ac:dyDescent="0.25">
      <c r="A5" s="515" t="s">
        <v>508</v>
      </c>
      <c r="B5" s="468"/>
      <c r="C5" s="114">
        <v>0</v>
      </c>
      <c r="D5" s="134">
        <v>0</v>
      </c>
      <c r="E5" s="134">
        <v>0</v>
      </c>
      <c r="F5" s="133" t="e">
        <f t="shared" ref="F5:F8" si="0">(E5-D5)/D5</f>
        <v>#DIV/0!</v>
      </c>
      <c r="G5" s="135">
        <v>0</v>
      </c>
    </row>
    <row r="6" spans="1:7" ht="18" customHeight="1" x14ac:dyDescent="0.25">
      <c r="A6" s="515" t="s">
        <v>75</v>
      </c>
      <c r="B6" s="468"/>
      <c r="C6" s="114">
        <v>0</v>
      </c>
      <c r="D6" s="134">
        <v>0</v>
      </c>
      <c r="E6" s="134">
        <v>0</v>
      </c>
      <c r="F6" s="133" t="e">
        <f t="shared" si="0"/>
        <v>#DIV/0!</v>
      </c>
      <c r="G6" s="135">
        <v>0</v>
      </c>
    </row>
    <row r="7" spans="1:7" ht="18" customHeight="1" x14ac:dyDescent="0.25">
      <c r="A7" s="515" t="s">
        <v>513</v>
      </c>
      <c r="B7" s="468"/>
      <c r="C7" s="114">
        <v>0</v>
      </c>
      <c r="D7" s="134">
        <v>0</v>
      </c>
      <c r="E7" s="134">
        <v>0</v>
      </c>
      <c r="F7" s="133" t="e">
        <f t="shared" si="0"/>
        <v>#DIV/0!</v>
      </c>
      <c r="G7" s="135">
        <v>0</v>
      </c>
    </row>
    <row r="8" spans="1:7" ht="18" customHeight="1" x14ac:dyDescent="0.25">
      <c r="A8" s="516" t="s">
        <v>514</v>
      </c>
      <c r="B8" s="517"/>
      <c r="C8" s="159">
        <v>0</v>
      </c>
      <c r="D8" s="160">
        <v>0</v>
      </c>
      <c r="E8" s="160">
        <v>0</v>
      </c>
      <c r="F8" s="161" t="e">
        <f t="shared" si="0"/>
        <v>#DIV/0!</v>
      </c>
      <c r="G8" s="162">
        <v>0</v>
      </c>
    </row>
    <row r="9" spans="1:7" ht="18" customHeight="1" x14ac:dyDescent="0.25">
      <c r="A9" s="516" t="s">
        <v>605</v>
      </c>
      <c r="B9" s="517"/>
      <c r="C9" s="159">
        <v>0</v>
      </c>
      <c r="D9" s="160">
        <v>0</v>
      </c>
      <c r="E9" s="160">
        <v>0</v>
      </c>
      <c r="F9" s="161" t="e">
        <f t="shared" ref="F9" si="1">(E9-D9)/D9</f>
        <v>#DIV/0!</v>
      </c>
      <c r="G9" s="162">
        <v>0</v>
      </c>
    </row>
    <row r="10" spans="1:7" ht="18" customHeight="1" thickBot="1" x14ac:dyDescent="0.3">
      <c r="A10" s="521" t="s">
        <v>83</v>
      </c>
      <c r="B10" s="522"/>
      <c r="C10" s="121"/>
      <c r="D10" s="140">
        <f>SUM(D4:D9)</f>
        <v>0</v>
      </c>
      <c r="E10" s="140">
        <f>SUM(E4:E9)</f>
        <v>0</v>
      </c>
      <c r="F10" s="138" t="e">
        <f t="shared" ref="F10" si="2">(E10-D10)/D10</f>
        <v>#DIV/0!</v>
      </c>
      <c r="G10" s="141">
        <f>SUM(G4:G9)</f>
        <v>0</v>
      </c>
    </row>
    <row r="11" spans="1:7" ht="24" customHeight="1" x14ac:dyDescent="0.25">
      <c r="A11" s="500" t="s">
        <v>577</v>
      </c>
      <c r="B11" s="501"/>
      <c r="C11" s="501"/>
      <c r="D11" s="501"/>
      <c r="E11" s="501"/>
      <c r="F11" s="501"/>
      <c r="G11" s="502"/>
    </row>
    <row r="12" spans="1:7" s="132" customFormat="1" ht="27.6" customHeight="1" x14ac:dyDescent="0.25">
      <c r="A12" s="268" t="s">
        <v>523</v>
      </c>
      <c r="B12" s="269"/>
      <c r="C12" s="2" t="s">
        <v>575</v>
      </c>
      <c r="D12" s="2" t="s">
        <v>576</v>
      </c>
      <c r="E12" s="2" t="s">
        <v>579</v>
      </c>
      <c r="F12" s="2" t="s">
        <v>580</v>
      </c>
      <c r="G12" s="3" t="s">
        <v>581</v>
      </c>
    </row>
    <row r="13" spans="1:7" ht="18" customHeight="1" x14ac:dyDescent="0.25">
      <c r="A13" s="515" t="s">
        <v>508</v>
      </c>
      <c r="B13" s="468"/>
      <c r="C13" s="134">
        <v>0</v>
      </c>
      <c r="D13" s="134">
        <v>0</v>
      </c>
      <c r="E13" s="133" t="e">
        <f t="shared" ref="E13:E15" si="3">D13/C13</f>
        <v>#DIV/0!</v>
      </c>
      <c r="F13" s="133" t="e">
        <f>D13/E5</f>
        <v>#DIV/0!</v>
      </c>
      <c r="G13" s="154"/>
    </row>
    <row r="14" spans="1:7" ht="18" customHeight="1" x14ac:dyDescent="0.25">
      <c r="A14" s="515" t="s">
        <v>75</v>
      </c>
      <c r="B14" s="468"/>
      <c r="C14" s="134">
        <v>0</v>
      </c>
      <c r="D14" s="134">
        <v>0</v>
      </c>
      <c r="E14" s="133" t="e">
        <f t="shared" si="3"/>
        <v>#DIV/0!</v>
      </c>
      <c r="F14" s="133" t="e">
        <f>D14/E6</f>
        <v>#DIV/0!</v>
      </c>
      <c r="G14" s="154"/>
    </row>
    <row r="15" spans="1:7" ht="18" customHeight="1" x14ac:dyDescent="0.25">
      <c r="A15" s="515" t="s">
        <v>513</v>
      </c>
      <c r="B15" s="468"/>
      <c r="C15" s="134">
        <v>0</v>
      </c>
      <c r="D15" s="134">
        <v>0</v>
      </c>
      <c r="E15" s="133" t="e">
        <f t="shared" si="3"/>
        <v>#DIV/0!</v>
      </c>
      <c r="F15" s="133" t="e">
        <f>D15/E7</f>
        <v>#DIV/0!</v>
      </c>
      <c r="G15" s="154"/>
    </row>
    <row r="16" spans="1:7" ht="18" customHeight="1" x14ac:dyDescent="0.25">
      <c r="A16" s="515" t="s">
        <v>514</v>
      </c>
      <c r="B16" s="468"/>
      <c r="C16" s="134">
        <v>0</v>
      </c>
      <c r="D16" s="134">
        <v>0</v>
      </c>
      <c r="E16" s="133" t="e">
        <f t="shared" ref="E16:E17" si="4">D16/C16</f>
        <v>#DIV/0!</v>
      </c>
      <c r="F16" s="133" t="e">
        <f>D16/E8</f>
        <v>#DIV/0!</v>
      </c>
      <c r="G16" s="154"/>
    </row>
    <row r="17" spans="1:7" ht="18" customHeight="1" thickBot="1" x14ac:dyDescent="0.3">
      <c r="A17" s="518" t="s">
        <v>605</v>
      </c>
      <c r="B17" s="480"/>
      <c r="C17" s="140">
        <v>0</v>
      </c>
      <c r="D17" s="140">
        <v>0</v>
      </c>
      <c r="E17" s="138" t="e">
        <f t="shared" si="4"/>
        <v>#DIV/0!</v>
      </c>
      <c r="F17" s="138" t="e">
        <f>D17/E9</f>
        <v>#DIV/0!</v>
      </c>
      <c r="G17" s="155"/>
    </row>
    <row r="18" spans="1:7" ht="24" customHeight="1" x14ac:dyDescent="0.25">
      <c r="A18" s="500" t="s">
        <v>578</v>
      </c>
      <c r="B18" s="501"/>
      <c r="C18" s="501"/>
      <c r="D18" s="501"/>
      <c r="E18" s="501"/>
      <c r="F18" s="501"/>
      <c r="G18" s="502"/>
    </row>
    <row r="19" spans="1:7" s="132" customFormat="1" ht="28.5" customHeight="1" x14ac:dyDescent="0.25">
      <c r="A19" s="268" t="s">
        <v>523</v>
      </c>
      <c r="B19" s="269"/>
      <c r="C19" s="2" t="s">
        <v>575</v>
      </c>
      <c r="D19" s="2" t="s">
        <v>576</v>
      </c>
      <c r="E19" s="2" t="s">
        <v>579</v>
      </c>
      <c r="F19" s="2" t="s">
        <v>580</v>
      </c>
      <c r="G19" s="3" t="s">
        <v>581</v>
      </c>
    </row>
    <row r="20" spans="1:7" ht="18" customHeight="1" x14ac:dyDescent="0.25">
      <c r="A20" s="515" t="s">
        <v>508</v>
      </c>
      <c r="B20" s="468"/>
      <c r="C20" s="134">
        <v>0</v>
      </c>
      <c r="D20" s="134">
        <v>0</v>
      </c>
      <c r="E20" s="133" t="e">
        <f t="shared" ref="E20:E24" si="5">D20/C20</f>
        <v>#DIV/0!</v>
      </c>
      <c r="F20" s="133" t="e">
        <f>D20/E5</f>
        <v>#DIV/0!</v>
      </c>
      <c r="G20" s="154"/>
    </row>
    <row r="21" spans="1:7" ht="18" customHeight="1" x14ac:dyDescent="0.25">
      <c r="A21" s="515" t="s">
        <v>75</v>
      </c>
      <c r="B21" s="468"/>
      <c r="C21" s="134">
        <v>0</v>
      </c>
      <c r="D21" s="134">
        <v>0</v>
      </c>
      <c r="E21" s="133" t="e">
        <f t="shared" si="5"/>
        <v>#DIV/0!</v>
      </c>
      <c r="F21" s="133" t="e">
        <f>D21/E6</f>
        <v>#DIV/0!</v>
      </c>
      <c r="G21" s="154"/>
    </row>
    <row r="22" spans="1:7" ht="18" customHeight="1" x14ac:dyDescent="0.25">
      <c r="A22" s="515" t="s">
        <v>513</v>
      </c>
      <c r="B22" s="468"/>
      <c r="C22" s="134">
        <v>0</v>
      </c>
      <c r="D22" s="134">
        <v>0</v>
      </c>
      <c r="E22" s="133" t="e">
        <f t="shared" si="5"/>
        <v>#DIV/0!</v>
      </c>
      <c r="F22" s="133" t="e">
        <f>D22/E7</f>
        <v>#DIV/0!</v>
      </c>
      <c r="G22" s="154"/>
    </row>
    <row r="23" spans="1:7" ht="18" customHeight="1" x14ac:dyDescent="0.25">
      <c r="A23" s="515" t="s">
        <v>514</v>
      </c>
      <c r="B23" s="468"/>
      <c r="C23" s="134">
        <v>0</v>
      </c>
      <c r="D23" s="134">
        <v>0</v>
      </c>
      <c r="E23" s="133" t="e">
        <f t="shared" si="5"/>
        <v>#DIV/0!</v>
      </c>
      <c r="F23" s="133" t="e">
        <f>D23/E8</f>
        <v>#DIV/0!</v>
      </c>
      <c r="G23" s="154"/>
    </row>
    <row r="24" spans="1:7" ht="18" customHeight="1" thickBot="1" x14ac:dyDescent="0.3">
      <c r="A24" s="518" t="s">
        <v>605</v>
      </c>
      <c r="B24" s="480"/>
      <c r="C24" s="140">
        <v>0</v>
      </c>
      <c r="D24" s="140">
        <v>0</v>
      </c>
      <c r="E24" s="138" t="e">
        <f t="shared" si="5"/>
        <v>#DIV/0!</v>
      </c>
      <c r="F24" s="138" t="e">
        <f>D24/E9</f>
        <v>#DIV/0!</v>
      </c>
      <c r="G24" s="155"/>
    </row>
    <row r="25" spans="1:7" ht="24" customHeight="1" x14ac:dyDescent="0.25">
      <c r="A25" s="500" t="s">
        <v>582</v>
      </c>
      <c r="B25" s="501"/>
      <c r="C25" s="501"/>
      <c r="D25" s="501"/>
      <c r="E25" s="501"/>
      <c r="F25" s="501"/>
      <c r="G25" s="502"/>
    </row>
    <row r="26" spans="1:7" s="132" customFormat="1" ht="28.5" customHeight="1" x14ac:dyDescent="0.25">
      <c r="A26" s="268" t="s">
        <v>523</v>
      </c>
      <c r="B26" s="269"/>
      <c r="C26" s="2" t="s">
        <v>575</v>
      </c>
      <c r="D26" s="2" t="s">
        <v>576</v>
      </c>
      <c r="E26" s="2" t="s">
        <v>579</v>
      </c>
      <c r="F26" s="2" t="s">
        <v>580</v>
      </c>
      <c r="G26" s="3" t="s">
        <v>581</v>
      </c>
    </row>
    <row r="27" spans="1:7" ht="18" customHeight="1" x14ac:dyDescent="0.25">
      <c r="A27" s="515" t="s">
        <v>508</v>
      </c>
      <c r="B27" s="468"/>
      <c r="C27" s="134">
        <v>0</v>
      </c>
      <c r="D27" s="134">
        <v>0</v>
      </c>
      <c r="E27" s="133" t="e">
        <f t="shared" ref="E27:E31" si="6">D27/C27</f>
        <v>#DIV/0!</v>
      </c>
      <c r="F27" s="133" t="e">
        <f>D27/E5</f>
        <v>#DIV/0!</v>
      </c>
      <c r="G27" s="154"/>
    </row>
    <row r="28" spans="1:7" ht="18" customHeight="1" x14ac:dyDescent="0.25">
      <c r="A28" s="515" t="s">
        <v>75</v>
      </c>
      <c r="B28" s="468"/>
      <c r="C28" s="134">
        <v>0</v>
      </c>
      <c r="D28" s="134">
        <v>0</v>
      </c>
      <c r="E28" s="133" t="e">
        <f t="shared" si="6"/>
        <v>#DIV/0!</v>
      </c>
      <c r="F28" s="133" t="e">
        <f>D28/E6</f>
        <v>#DIV/0!</v>
      </c>
      <c r="G28" s="154"/>
    </row>
    <row r="29" spans="1:7" ht="18" customHeight="1" x14ac:dyDescent="0.25">
      <c r="A29" s="515" t="s">
        <v>513</v>
      </c>
      <c r="B29" s="468"/>
      <c r="C29" s="134">
        <v>0</v>
      </c>
      <c r="D29" s="134">
        <v>0</v>
      </c>
      <c r="E29" s="133" t="e">
        <f t="shared" si="6"/>
        <v>#DIV/0!</v>
      </c>
      <c r="F29" s="133" t="e">
        <f>D29/E7</f>
        <v>#DIV/0!</v>
      </c>
      <c r="G29" s="154"/>
    </row>
    <row r="30" spans="1:7" ht="18" customHeight="1" x14ac:dyDescent="0.25">
      <c r="A30" s="515" t="s">
        <v>514</v>
      </c>
      <c r="B30" s="468"/>
      <c r="C30" s="134">
        <v>0</v>
      </c>
      <c r="D30" s="134">
        <v>0</v>
      </c>
      <c r="E30" s="133" t="e">
        <f t="shared" si="6"/>
        <v>#DIV/0!</v>
      </c>
      <c r="F30" s="133" t="e">
        <f>D30/E8</f>
        <v>#DIV/0!</v>
      </c>
      <c r="G30" s="154"/>
    </row>
    <row r="31" spans="1:7" ht="18" customHeight="1" thickBot="1" x14ac:dyDescent="0.3">
      <c r="A31" s="518" t="s">
        <v>605</v>
      </c>
      <c r="B31" s="480"/>
      <c r="C31" s="140">
        <v>0</v>
      </c>
      <c r="D31" s="140">
        <v>0</v>
      </c>
      <c r="E31" s="138" t="e">
        <f t="shared" si="6"/>
        <v>#DIV/0!</v>
      </c>
      <c r="F31" s="138" t="e">
        <f>D31/E9</f>
        <v>#DIV/0!</v>
      </c>
      <c r="G31" s="155"/>
    </row>
    <row r="32" spans="1:7" ht="35.25" customHeight="1" thickBot="1" x14ac:dyDescent="0.3">
      <c r="A32" s="503" t="s">
        <v>526</v>
      </c>
      <c r="B32" s="504"/>
      <c r="C32" s="504"/>
      <c r="D32" s="504"/>
      <c r="E32" s="504"/>
      <c r="F32" s="504"/>
      <c r="G32" s="505"/>
    </row>
    <row r="33" spans="1:7" ht="24" customHeight="1" x14ac:dyDescent="0.25">
      <c r="A33" s="500" t="s">
        <v>727</v>
      </c>
      <c r="B33" s="501"/>
      <c r="C33" s="501"/>
      <c r="D33" s="501"/>
      <c r="E33" s="501"/>
      <c r="F33" s="501"/>
      <c r="G33" s="502"/>
    </row>
    <row r="34" spans="1:7" ht="59.25" customHeight="1" x14ac:dyDescent="0.25">
      <c r="A34" s="1" t="s">
        <v>553</v>
      </c>
      <c r="B34" s="2" t="s">
        <v>554</v>
      </c>
      <c r="C34" s="143" t="s">
        <v>555</v>
      </c>
      <c r="D34" s="2" t="s">
        <v>556</v>
      </c>
      <c r="E34" s="2" t="s">
        <v>557</v>
      </c>
      <c r="F34" s="2" t="s">
        <v>558</v>
      </c>
      <c r="G34" s="3" t="s">
        <v>559</v>
      </c>
    </row>
    <row r="35" spans="1:7" ht="18" customHeight="1" thickBot="1" x14ac:dyDescent="0.3">
      <c r="A35" s="163">
        <v>0</v>
      </c>
      <c r="B35" s="140">
        <v>0</v>
      </c>
      <c r="C35" s="140">
        <v>0</v>
      </c>
      <c r="D35" s="168">
        <v>0</v>
      </c>
      <c r="E35" s="140" t="e">
        <f>C35/D35</f>
        <v>#DIV/0!</v>
      </c>
      <c r="F35" s="138" t="e">
        <f>(E35-A35)/A35</f>
        <v>#DIV/0!</v>
      </c>
      <c r="G35" s="139" t="e">
        <f>(E35-B35)/B35</f>
        <v>#DIV/0!</v>
      </c>
    </row>
    <row r="36" spans="1:7" ht="24" customHeight="1" x14ac:dyDescent="0.25">
      <c r="A36" s="500" t="s">
        <v>551</v>
      </c>
      <c r="B36" s="501"/>
      <c r="C36" s="501"/>
      <c r="D36" s="501"/>
      <c r="E36" s="501"/>
      <c r="F36" s="501"/>
      <c r="G36" s="502"/>
    </row>
    <row r="37" spans="1:7" s="132" customFormat="1" ht="46.5" customHeight="1" x14ac:dyDescent="0.25">
      <c r="A37" s="268" t="s">
        <v>523</v>
      </c>
      <c r="B37" s="269"/>
      <c r="C37" s="2" t="s">
        <v>511</v>
      </c>
      <c r="D37" s="2" t="s">
        <v>510</v>
      </c>
      <c r="E37" s="2" t="s">
        <v>540</v>
      </c>
      <c r="F37" s="2" t="s">
        <v>521</v>
      </c>
      <c r="G37" s="3" t="s">
        <v>539</v>
      </c>
    </row>
    <row r="38" spans="1:7" ht="18" customHeight="1" x14ac:dyDescent="0.25">
      <c r="A38" s="515" t="s">
        <v>515</v>
      </c>
      <c r="B38" s="468"/>
      <c r="C38" s="134">
        <v>0</v>
      </c>
      <c r="D38" s="134">
        <v>0</v>
      </c>
      <c r="E38" s="133" t="e">
        <f t="shared" ref="E38:E40" si="7">(D38-C38)/C38</f>
        <v>#DIV/0!</v>
      </c>
      <c r="F38" s="134">
        <v>0</v>
      </c>
      <c r="G38" s="136" t="e">
        <f>(F38-C38)/C38</f>
        <v>#DIV/0!</v>
      </c>
    </row>
    <row r="39" spans="1:7" ht="18" customHeight="1" x14ac:dyDescent="0.25">
      <c r="A39" s="515" t="s">
        <v>516</v>
      </c>
      <c r="B39" s="468"/>
      <c r="C39" s="134">
        <v>0</v>
      </c>
      <c r="D39" s="134">
        <v>0</v>
      </c>
      <c r="E39" s="133" t="e">
        <f t="shared" si="7"/>
        <v>#DIV/0!</v>
      </c>
      <c r="F39" s="134">
        <v>0</v>
      </c>
      <c r="G39" s="136" t="e">
        <f t="shared" ref="G39:G40" si="8">(F39-C39)/C39</f>
        <v>#DIV/0!</v>
      </c>
    </row>
    <row r="40" spans="1:7" ht="18" customHeight="1" thickBot="1" x14ac:dyDescent="0.3">
      <c r="A40" s="518" t="s">
        <v>517</v>
      </c>
      <c r="B40" s="480"/>
      <c r="C40" s="140">
        <v>0</v>
      </c>
      <c r="D40" s="140">
        <v>0</v>
      </c>
      <c r="E40" s="138" t="e">
        <f t="shared" si="7"/>
        <v>#DIV/0!</v>
      </c>
      <c r="F40" s="140">
        <v>0</v>
      </c>
      <c r="G40" s="139" t="e">
        <f t="shared" si="8"/>
        <v>#DIV/0!</v>
      </c>
    </row>
    <row r="41" spans="1:7" ht="24" customHeight="1" x14ac:dyDescent="0.25">
      <c r="A41" s="500" t="s">
        <v>524</v>
      </c>
      <c r="B41" s="501"/>
      <c r="C41" s="501"/>
      <c r="D41" s="501"/>
      <c r="E41" s="501"/>
      <c r="F41" s="501"/>
      <c r="G41" s="502"/>
    </row>
    <row r="42" spans="1:7" s="22" customFormat="1" ht="75" customHeight="1" x14ac:dyDescent="0.25">
      <c r="A42" s="1" t="s">
        <v>531</v>
      </c>
      <c r="B42" s="2" t="s">
        <v>522</v>
      </c>
      <c r="C42" s="2" t="s">
        <v>530</v>
      </c>
      <c r="D42" s="2" t="s">
        <v>532</v>
      </c>
      <c r="E42" s="2" t="s">
        <v>533</v>
      </c>
      <c r="F42" s="2" t="s">
        <v>535</v>
      </c>
      <c r="G42" s="3" t="s">
        <v>534</v>
      </c>
    </row>
    <row r="43" spans="1:7" ht="18" customHeight="1" thickBot="1" x14ac:dyDescent="0.3">
      <c r="A43" s="142">
        <v>0</v>
      </c>
      <c r="B43" s="137">
        <v>0</v>
      </c>
      <c r="C43" s="137">
        <v>0</v>
      </c>
      <c r="D43" s="138" t="e">
        <f>C43/B43</f>
        <v>#DIV/0!</v>
      </c>
      <c r="E43" s="138" t="e">
        <f>1-D43</f>
        <v>#DIV/0!</v>
      </c>
      <c r="F43" s="156" t="e">
        <f>D43-A43</f>
        <v>#DIV/0!</v>
      </c>
      <c r="G43" s="139" t="e">
        <f>E43-(1-A43)</f>
        <v>#DIV/0!</v>
      </c>
    </row>
    <row r="44" spans="1:7" ht="24" customHeight="1" x14ac:dyDescent="0.25">
      <c r="A44" s="506" t="s">
        <v>536</v>
      </c>
      <c r="B44" s="507"/>
      <c r="C44" s="507"/>
      <c r="D44" s="507"/>
      <c r="E44" s="507"/>
      <c r="F44" s="507"/>
      <c r="G44" s="508"/>
    </row>
    <row r="45" spans="1:7" s="22" customFormat="1" ht="40.5" customHeight="1" x14ac:dyDescent="0.25">
      <c r="A45" s="263" t="s">
        <v>523</v>
      </c>
      <c r="B45" s="264"/>
      <c r="C45" s="2" t="s">
        <v>529</v>
      </c>
      <c r="D45" s="2" t="s">
        <v>538</v>
      </c>
      <c r="E45" s="2" t="s">
        <v>540</v>
      </c>
      <c r="F45" s="2" t="s">
        <v>537</v>
      </c>
      <c r="G45" s="3" t="s">
        <v>539</v>
      </c>
    </row>
    <row r="46" spans="1:7" ht="18" customHeight="1" x14ac:dyDescent="0.25">
      <c r="A46" s="513" t="s">
        <v>525</v>
      </c>
      <c r="B46" s="514"/>
      <c r="C46" s="124">
        <v>0</v>
      </c>
      <c r="D46" s="124">
        <v>0</v>
      </c>
      <c r="E46" s="133" t="e">
        <f>(D46-C46)/C46</f>
        <v>#DIV/0!</v>
      </c>
      <c r="F46" s="124">
        <v>0</v>
      </c>
      <c r="G46" s="136" t="e">
        <f>(F46-C46)/C46</f>
        <v>#DIV/0!</v>
      </c>
    </row>
    <row r="47" spans="1:7" ht="18" customHeight="1" x14ac:dyDescent="0.25">
      <c r="A47" s="513" t="s">
        <v>127</v>
      </c>
      <c r="B47" s="514"/>
      <c r="C47" s="124">
        <v>0</v>
      </c>
      <c r="D47" s="124">
        <v>0</v>
      </c>
      <c r="E47" s="133" t="e">
        <f>(D47-C47)/C47</f>
        <v>#DIV/0!</v>
      </c>
      <c r="F47" s="124">
        <v>0</v>
      </c>
      <c r="G47" s="136" t="e">
        <f t="shared" ref="G47:G52" si="9">(F47-C47)/C47</f>
        <v>#DIV/0!</v>
      </c>
    </row>
    <row r="48" spans="1:7" ht="18" customHeight="1" x14ac:dyDescent="0.25">
      <c r="A48" s="513" t="s">
        <v>75</v>
      </c>
      <c r="B48" s="514"/>
      <c r="C48" s="124">
        <v>0</v>
      </c>
      <c r="D48" s="124">
        <v>0</v>
      </c>
      <c r="E48" s="133" t="e">
        <f t="shared" ref="E48:E52" si="10">(D48-C48)/C48</f>
        <v>#DIV/0!</v>
      </c>
      <c r="F48" s="124">
        <v>0</v>
      </c>
      <c r="G48" s="136" t="e">
        <f t="shared" si="9"/>
        <v>#DIV/0!</v>
      </c>
    </row>
    <row r="49" spans="1:7" ht="18" customHeight="1" x14ac:dyDescent="0.25">
      <c r="A49" s="513" t="s">
        <v>517</v>
      </c>
      <c r="B49" s="514"/>
      <c r="C49" s="124">
        <v>0</v>
      </c>
      <c r="D49" s="124">
        <v>0</v>
      </c>
      <c r="E49" s="133" t="e">
        <f t="shared" si="10"/>
        <v>#DIV/0!</v>
      </c>
      <c r="F49" s="124">
        <v>0</v>
      </c>
      <c r="G49" s="136" t="e">
        <f t="shared" si="9"/>
        <v>#DIV/0!</v>
      </c>
    </row>
    <row r="50" spans="1:7" ht="18" customHeight="1" x14ac:dyDescent="0.25">
      <c r="A50" s="513" t="s">
        <v>526</v>
      </c>
      <c r="B50" s="514"/>
      <c r="C50" s="124">
        <v>0</v>
      </c>
      <c r="D50" s="124">
        <v>0</v>
      </c>
      <c r="E50" s="133" t="e">
        <f t="shared" si="10"/>
        <v>#DIV/0!</v>
      </c>
      <c r="F50" s="124">
        <v>0</v>
      </c>
      <c r="G50" s="136" t="e">
        <f t="shared" si="9"/>
        <v>#DIV/0!</v>
      </c>
    </row>
    <row r="51" spans="1:7" ht="18" customHeight="1" x14ac:dyDescent="0.25">
      <c r="A51" s="513" t="s">
        <v>527</v>
      </c>
      <c r="B51" s="514"/>
      <c r="C51" s="124">
        <v>0</v>
      </c>
      <c r="D51" s="124">
        <v>0</v>
      </c>
      <c r="E51" s="133" t="e">
        <f t="shared" si="10"/>
        <v>#DIV/0!</v>
      </c>
      <c r="F51" s="124">
        <v>0</v>
      </c>
      <c r="G51" s="136" t="e">
        <f t="shared" si="9"/>
        <v>#DIV/0!</v>
      </c>
    </row>
    <row r="52" spans="1:7" ht="18" customHeight="1" thickBot="1" x14ac:dyDescent="0.3">
      <c r="A52" s="519" t="s">
        <v>528</v>
      </c>
      <c r="B52" s="520"/>
      <c r="C52" s="137">
        <v>0</v>
      </c>
      <c r="D52" s="137">
        <v>0</v>
      </c>
      <c r="E52" s="138" t="e">
        <f t="shared" si="10"/>
        <v>#DIV/0!</v>
      </c>
      <c r="F52" s="137">
        <v>0</v>
      </c>
      <c r="G52" s="139" t="e">
        <f t="shared" si="9"/>
        <v>#DIV/0!</v>
      </c>
    </row>
    <row r="53" spans="1:7" ht="35.25" customHeight="1" thickBot="1" x14ac:dyDescent="0.3">
      <c r="A53" s="503" t="s">
        <v>728</v>
      </c>
      <c r="B53" s="504"/>
      <c r="C53" s="504"/>
      <c r="D53" s="504"/>
      <c r="E53" s="504"/>
      <c r="F53" s="504"/>
      <c r="G53" s="505"/>
    </row>
    <row r="54" spans="1:7" ht="24" customHeight="1" x14ac:dyDescent="0.25">
      <c r="A54" s="506" t="s">
        <v>541</v>
      </c>
      <c r="B54" s="507"/>
      <c r="C54" s="507"/>
      <c r="D54" s="507"/>
      <c r="E54" s="507"/>
      <c r="F54" s="507"/>
      <c r="G54" s="508"/>
    </row>
    <row r="55" spans="1:7" ht="60.75" customHeight="1" x14ac:dyDescent="0.25">
      <c r="A55" s="1" t="s">
        <v>560</v>
      </c>
      <c r="B55" s="2" t="s">
        <v>561</v>
      </c>
      <c r="C55" s="2" t="s">
        <v>552</v>
      </c>
      <c r="D55" s="2" t="s">
        <v>562</v>
      </c>
      <c r="E55" s="2" t="s">
        <v>563</v>
      </c>
      <c r="F55" s="2" t="s">
        <v>564</v>
      </c>
      <c r="G55" s="3" t="s">
        <v>565</v>
      </c>
    </row>
    <row r="56" spans="1:7" ht="18" customHeight="1" thickBot="1" x14ac:dyDescent="0.3">
      <c r="A56" s="193">
        <v>0</v>
      </c>
      <c r="B56" s="137">
        <v>0</v>
      </c>
      <c r="C56" s="168">
        <v>0</v>
      </c>
      <c r="D56" s="168">
        <v>0</v>
      </c>
      <c r="E56" s="197" t="e">
        <f>C56/D56</f>
        <v>#DIV/0!</v>
      </c>
      <c r="F56" s="138" t="e">
        <f>(E56-A56)/A56</f>
        <v>#DIV/0!</v>
      </c>
      <c r="G56" s="139" t="e">
        <f>(E56-B56)/B56</f>
        <v>#DIV/0!</v>
      </c>
    </row>
    <row r="57" spans="1:7" ht="24" customHeight="1" x14ac:dyDescent="0.25">
      <c r="A57" s="506" t="s">
        <v>594</v>
      </c>
      <c r="B57" s="507"/>
      <c r="C57" s="507"/>
      <c r="D57" s="507"/>
      <c r="E57" s="507"/>
      <c r="F57" s="507"/>
      <c r="G57" s="508"/>
    </row>
    <row r="58" spans="1:7" ht="108" customHeight="1" x14ac:dyDescent="0.25">
      <c r="A58" s="1" t="s">
        <v>595</v>
      </c>
      <c r="B58" s="2" t="s">
        <v>596</v>
      </c>
      <c r="C58" s="2" t="s">
        <v>598</v>
      </c>
      <c r="D58" s="2" t="s">
        <v>597</v>
      </c>
      <c r="E58" s="2" t="s">
        <v>621</v>
      </c>
      <c r="F58" s="158"/>
      <c r="G58" s="153"/>
    </row>
    <row r="59" spans="1:7" ht="18" customHeight="1" thickBot="1" x14ac:dyDescent="0.3">
      <c r="A59" s="194">
        <v>0</v>
      </c>
      <c r="B59" s="156">
        <v>0</v>
      </c>
      <c r="C59" s="168">
        <v>0</v>
      </c>
      <c r="D59" s="168">
        <v>0</v>
      </c>
      <c r="E59" s="138" t="e">
        <f>D59/C59</f>
        <v>#DIV/0!</v>
      </c>
      <c r="F59" s="195"/>
      <c r="G59" s="196"/>
    </row>
    <row r="60" spans="1:7" ht="24" customHeight="1" x14ac:dyDescent="0.25">
      <c r="A60" s="506" t="s">
        <v>586</v>
      </c>
      <c r="B60" s="507"/>
      <c r="C60" s="507"/>
      <c r="D60" s="507"/>
      <c r="E60" s="507"/>
      <c r="F60" s="507"/>
      <c r="G60" s="508"/>
    </row>
    <row r="61" spans="1:7" ht="75.75" customHeight="1" x14ac:dyDescent="0.25">
      <c r="A61" s="1" t="s">
        <v>523</v>
      </c>
      <c r="B61" s="2" t="s">
        <v>589</v>
      </c>
      <c r="C61" s="2" t="s">
        <v>593</v>
      </c>
      <c r="D61" s="2" t="s">
        <v>590</v>
      </c>
      <c r="E61" s="2" t="s">
        <v>620</v>
      </c>
      <c r="F61" s="2" t="s">
        <v>591</v>
      </c>
      <c r="G61" s="3" t="s">
        <v>592</v>
      </c>
    </row>
    <row r="62" spans="1:7" ht="18" customHeight="1" x14ac:dyDescent="0.25">
      <c r="A62" s="7" t="s">
        <v>587</v>
      </c>
      <c r="B62" s="18">
        <v>0</v>
      </c>
      <c r="C62" s="18">
        <v>0</v>
      </c>
      <c r="D62" s="18">
        <v>0</v>
      </c>
      <c r="E62" s="157" t="e">
        <f>B62/(B62+B63)</f>
        <v>#DIV/0!</v>
      </c>
      <c r="F62" s="157" t="e">
        <f t="shared" ref="F62:G62" si="11">C62/(C62+C63)</f>
        <v>#DIV/0!</v>
      </c>
      <c r="G62" s="115" t="e">
        <f t="shared" si="11"/>
        <v>#DIV/0!</v>
      </c>
    </row>
    <row r="63" spans="1:7" ht="18" customHeight="1" thickBot="1" x14ac:dyDescent="0.3">
      <c r="A63" s="193" t="s">
        <v>588</v>
      </c>
      <c r="B63" s="140">
        <v>0</v>
      </c>
      <c r="C63" s="140">
        <v>0</v>
      </c>
      <c r="D63" s="140">
        <v>0</v>
      </c>
      <c r="E63" s="31" t="e">
        <f>B63/(B63+B62)</f>
        <v>#DIV/0!</v>
      </c>
      <c r="F63" s="31" t="e">
        <f t="shared" ref="F63:G63" si="12">C63/(C63+C62)</f>
        <v>#DIV/0!</v>
      </c>
      <c r="G63" s="190" t="e">
        <f t="shared" si="12"/>
        <v>#DIV/0!</v>
      </c>
    </row>
    <row r="64" spans="1:7" ht="24" customHeight="1" x14ac:dyDescent="0.25">
      <c r="A64" s="506" t="s">
        <v>542</v>
      </c>
      <c r="B64" s="507"/>
      <c r="C64" s="507"/>
      <c r="D64" s="507"/>
      <c r="E64" s="507"/>
      <c r="F64" s="507"/>
      <c r="G64" s="508"/>
    </row>
    <row r="65" spans="1:7" ht="60.75" customHeight="1" x14ac:dyDescent="0.25">
      <c r="A65" s="1"/>
      <c r="B65" s="2" t="s">
        <v>566</v>
      </c>
      <c r="C65" s="2" t="s">
        <v>568</v>
      </c>
      <c r="D65" s="2" t="s">
        <v>567</v>
      </c>
      <c r="E65" s="2" t="s">
        <v>569</v>
      </c>
      <c r="F65" s="2" t="s">
        <v>572</v>
      </c>
      <c r="G65" s="3" t="s">
        <v>573</v>
      </c>
    </row>
    <row r="66" spans="1:7" ht="18" customHeight="1" x14ac:dyDescent="0.25">
      <c r="A66" s="144" t="s">
        <v>570</v>
      </c>
      <c r="B66" s="124">
        <v>0</v>
      </c>
      <c r="C66" s="146">
        <v>0</v>
      </c>
      <c r="D66" s="147">
        <v>0</v>
      </c>
      <c r="E66" s="146">
        <f>B66*C66*D66</f>
        <v>0</v>
      </c>
      <c r="F66" s="151"/>
      <c r="G66" s="152"/>
    </row>
    <row r="67" spans="1:7" ht="18" customHeight="1" x14ac:dyDescent="0.25">
      <c r="A67" s="144" t="s">
        <v>510</v>
      </c>
      <c r="B67" s="124">
        <v>0</v>
      </c>
      <c r="C67" s="146">
        <v>0</v>
      </c>
      <c r="D67" s="147">
        <v>0</v>
      </c>
      <c r="E67" s="146">
        <f>B67*C67*D67</f>
        <v>0</v>
      </c>
      <c r="F67" s="151"/>
      <c r="G67" s="152"/>
    </row>
    <row r="68" spans="1:7" ht="27.75" customHeight="1" thickBot="1" x14ac:dyDescent="0.3">
      <c r="A68" s="150" t="s">
        <v>571</v>
      </c>
      <c r="B68" s="137">
        <v>0</v>
      </c>
      <c r="C68" s="148">
        <v>0</v>
      </c>
      <c r="D68" s="149">
        <v>0</v>
      </c>
      <c r="E68" s="148">
        <f>B68*C68*D68</f>
        <v>0</v>
      </c>
      <c r="F68" s="138" t="e">
        <f>(E68-E66)/E66</f>
        <v>#DIV/0!</v>
      </c>
      <c r="G68" s="139" t="e">
        <f>(E68-E67)/E67</f>
        <v>#DIV/0!</v>
      </c>
    </row>
    <row r="69" spans="1:7" ht="35.25" customHeight="1" thickBot="1" x14ac:dyDescent="0.3">
      <c r="A69" s="503" t="s">
        <v>728</v>
      </c>
      <c r="B69" s="504"/>
      <c r="C69" s="504"/>
      <c r="D69" s="504"/>
      <c r="E69" s="504"/>
      <c r="F69" s="504"/>
      <c r="G69" s="505"/>
    </row>
    <row r="70" spans="1:7" ht="24" customHeight="1" x14ac:dyDescent="0.25">
      <c r="A70" s="506" t="s">
        <v>550</v>
      </c>
      <c r="B70" s="507"/>
      <c r="C70" s="507"/>
      <c r="D70" s="507"/>
      <c r="E70" s="507"/>
      <c r="F70" s="507"/>
      <c r="G70" s="508"/>
    </row>
    <row r="71" spans="1:7" ht="106.5" customHeight="1" x14ac:dyDescent="0.25">
      <c r="A71" s="1" t="s">
        <v>599</v>
      </c>
      <c r="B71" s="2" t="s">
        <v>600</v>
      </c>
      <c r="C71" s="2" t="s">
        <v>601</v>
      </c>
      <c r="D71" s="2" t="s">
        <v>602</v>
      </c>
      <c r="E71" s="2" t="s">
        <v>603</v>
      </c>
      <c r="F71" s="2" t="s">
        <v>619</v>
      </c>
      <c r="G71" s="3" t="s">
        <v>604</v>
      </c>
    </row>
    <row r="72" spans="1:7" ht="18" customHeight="1" thickBot="1" x14ac:dyDescent="0.3">
      <c r="A72" s="163">
        <v>0</v>
      </c>
      <c r="B72" s="156" t="e">
        <f>D9/D10</f>
        <v>#DIV/0!</v>
      </c>
      <c r="C72" s="140">
        <v>0</v>
      </c>
      <c r="D72" s="138" t="e">
        <f>E9/E10</f>
        <v>#DIV/0!</v>
      </c>
      <c r="E72" s="140">
        <f>G9</f>
        <v>0</v>
      </c>
      <c r="F72" s="138" t="e">
        <f>G9/G10</f>
        <v>#DIV/0!</v>
      </c>
      <c r="G72" s="139" t="e">
        <f>(E72/C72)-1</f>
        <v>#DIV/0!</v>
      </c>
    </row>
    <row r="73" spans="1:7" ht="24" customHeight="1" x14ac:dyDescent="0.25">
      <c r="A73" s="500" t="s">
        <v>631</v>
      </c>
      <c r="B73" s="501"/>
      <c r="C73" s="501"/>
      <c r="D73" s="501"/>
      <c r="E73" s="501"/>
      <c r="F73" s="501"/>
      <c r="G73" s="502"/>
    </row>
    <row r="74" spans="1:7" ht="66.75" customHeight="1" x14ac:dyDescent="0.25">
      <c r="A74" s="1" t="s">
        <v>623</v>
      </c>
      <c r="B74" s="2" t="s">
        <v>635</v>
      </c>
      <c r="C74" s="2" t="s">
        <v>636</v>
      </c>
      <c r="D74" s="2" t="s">
        <v>628</v>
      </c>
      <c r="E74" s="2" t="s">
        <v>637</v>
      </c>
      <c r="F74" s="2" t="s">
        <v>629</v>
      </c>
      <c r="G74" s="3" t="s">
        <v>641</v>
      </c>
    </row>
    <row r="75" spans="1:7" ht="18" customHeight="1" x14ac:dyDescent="0.25">
      <c r="A75" s="7" t="s">
        <v>625</v>
      </c>
      <c r="B75" s="158"/>
      <c r="C75" s="125">
        <v>0</v>
      </c>
      <c r="D75" s="172">
        <v>0</v>
      </c>
      <c r="E75" s="171">
        <v>0</v>
      </c>
      <c r="F75" s="157" t="e">
        <f>D75/E75</f>
        <v>#DIV/0!</v>
      </c>
      <c r="G75" s="115" t="e">
        <f>(F75-C75)/C75</f>
        <v>#DIV/0!</v>
      </c>
    </row>
    <row r="76" spans="1:7" ht="18" customHeight="1" x14ac:dyDescent="0.25">
      <c r="A76" s="7" t="s">
        <v>626</v>
      </c>
      <c r="B76" s="158"/>
      <c r="C76" s="125">
        <v>0</v>
      </c>
      <c r="D76" s="172">
        <v>0</v>
      </c>
      <c r="E76" s="171">
        <v>0</v>
      </c>
      <c r="F76" s="157" t="e">
        <f t="shared" ref="F76:F79" si="13">D76/E76</f>
        <v>#DIV/0!</v>
      </c>
      <c r="G76" s="115" t="e">
        <f t="shared" ref="G76:G79" si="14">(F76-C76)/C76</f>
        <v>#DIV/0!</v>
      </c>
    </row>
    <row r="77" spans="1:7" ht="18" customHeight="1" x14ac:dyDescent="0.25">
      <c r="A77" s="7" t="s">
        <v>627</v>
      </c>
      <c r="B77" s="158"/>
      <c r="C77" s="125">
        <v>0</v>
      </c>
      <c r="D77" s="172">
        <v>0</v>
      </c>
      <c r="E77" s="171">
        <v>0</v>
      </c>
      <c r="F77" s="157" t="e">
        <f t="shared" si="13"/>
        <v>#DIV/0!</v>
      </c>
      <c r="G77" s="115" t="e">
        <f t="shared" si="14"/>
        <v>#DIV/0!</v>
      </c>
    </row>
    <row r="78" spans="1:7" ht="18" customHeight="1" x14ac:dyDescent="0.25">
      <c r="A78" s="7" t="s">
        <v>630</v>
      </c>
      <c r="B78" s="158"/>
      <c r="C78" s="125">
        <v>0</v>
      </c>
      <c r="D78" s="172">
        <v>0</v>
      </c>
      <c r="E78" s="171">
        <v>0</v>
      </c>
      <c r="F78" s="157" t="e">
        <f t="shared" si="13"/>
        <v>#DIV/0!</v>
      </c>
      <c r="G78" s="115" t="e">
        <f t="shared" si="14"/>
        <v>#DIV/0!</v>
      </c>
    </row>
    <row r="79" spans="1:7" ht="18" customHeight="1" thickBot="1" x14ac:dyDescent="0.3">
      <c r="A79" s="185" t="s">
        <v>624</v>
      </c>
      <c r="B79" s="179">
        <v>0</v>
      </c>
      <c r="C79" s="179">
        <v>0</v>
      </c>
      <c r="D79" s="191">
        <f>SUM(D75:D78)</f>
        <v>0</v>
      </c>
      <c r="E79" s="192">
        <f>SUM(E75:E78)</f>
        <v>0</v>
      </c>
      <c r="F79" s="31" t="e">
        <f t="shared" si="13"/>
        <v>#DIV/0!</v>
      </c>
      <c r="G79" s="190" t="e">
        <f t="shared" si="14"/>
        <v>#DIV/0!</v>
      </c>
    </row>
    <row r="80" spans="1:7" ht="35.25" customHeight="1" thickBot="1" x14ac:dyDescent="0.3">
      <c r="A80" s="503" t="s">
        <v>606</v>
      </c>
      <c r="B80" s="504"/>
      <c r="C80" s="504"/>
      <c r="D80" s="504"/>
      <c r="E80" s="504"/>
      <c r="F80" s="504"/>
      <c r="G80" s="505"/>
    </row>
    <row r="81" spans="1:7" ht="24" customHeight="1" x14ac:dyDescent="0.25">
      <c r="A81" s="500" t="s">
        <v>632</v>
      </c>
      <c r="B81" s="501"/>
      <c r="C81" s="501"/>
      <c r="D81" s="501"/>
      <c r="E81" s="501"/>
      <c r="F81" s="501"/>
      <c r="G81" s="502"/>
    </row>
    <row r="82" spans="1:7" ht="66.75" customHeight="1" x14ac:dyDescent="0.25">
      <c r="A82" s="1" t="s">
        <v>92</v>
      </c>
      <c r="B82" s="2" t="s">
        <v>639</v>
      </c>
      <c r="C82" s="2" t="s">
        <v>638</v>
      </c>
      <c r="D82" s="2" t="s">
        <v>640</v>
      </c>
      <c r="E82" s="2" t="s">
        <v>633</v>
      </c>
      <c r="F82" s="2" t="s">
        <v>634</v>
      </c>
      <c r="G82" s="3" t="s">
        <v>642</v>
      </c>
    </row>
    <row r="83" spans="1:7" ht="18" customHeight="1" x14ac:dyDescent="0.25">
      <c r="A83" s="7" t="s">
        <v>625</v>
      </c>
      <c r="B83" s="158"/>
      <c r="C83" s="169">
        <v>0</v>
      </c>
      <c r="D83" s="18">
        <v>0</v>
      </c>
      <c r="E83" s="170">
        <f>D75</f>
        <v>0</v>
      </c>
      <c r="F83" s="173" t="e">
        <f>D83/E83</f>
        <v>#DIV/0!</v>
      </c>
      <c r="G83" s="115" t="e">
        <f>(F83-C83)/C83</f>
        <v>#DIV/0!</v>
      </c>
    </row>
    <row r="84" spans="1:7" ht="18" customHeight="1" x14ac:dyDescent="0.25">
      <c r="A84" s="7" t="s">
        <v>626</v>
      </c>
      <c r="B84" s="158"/>
      <c r="C84" s="169">
        <v>0</v>
      </c>
      <c r="D84" s="18">
        <v>0</v>
      </c>
      <c r="E84" s="170">
        <f>D76</f>
        <v>0</v>
      </c>
      <c r="F84" s="173" t="e">
        <f t="shared" ref="F84:F87" si="15">D84/E84</f>
        <v>#DIV/0!</v>
      </c>
      <c r="G84" s="115" t="e">
        <f t="shared" ref="G84:G87" si="16">(F84-C84)/C84</f>
        <v>#DIV/0!</v>
      </c>
    </row>
    <row r="85" spans="1:7" ht="18" customHeight="1" x14ac:dyDescent="0.25">
      <c r="A85" s="7" t="s">
        <v>627</v>
      </c>
      <c r="B85" s="158"/>
      <c r="C85" s="169">
        <v>0</v>
      </c>
      <c r="D85" s="18">
        <v>0</v>
      </c>
      <c r="E85" s="170">
        <f>D77</f>
        <v>0</v>
      </c>
      <c r="F85" s="173" t="e">
        <f t="shared" si="15"/>
        <v>#DIV/0!</v>
      </c>
      <c r="G85" s="115" t="e">
        <f t="shared" si="16"/>
        <v>#DIV/0!</v>
      </c>
    </row>
    <row r="86" spans="1:7" ht="18" customHeight="1" x14ac:dyDescent="0.25">
      <c r="A86" s="7" t="s">
        <v>630</v>
      </c>
      <c r="B86" s="158"/>
      <c r="C86" s="169">
        <v>0</v>
      </c>
      <c r="D86" s="18">
        <v>0</v>
      </c>
      <c r="E86" s="170">
        <f>D78</f>
        <v>0</v>
      </c>
      <c r="F86" s="173" t="e">
        <f t="shared" si="15"/>
        <v>#DIV/0!</v>
      </c>
      <c r="G86" s="115" t="e">
        <f t="shared" si="16"/>
        <v>#DIV/0!</v>
      </c>
    </row>
    <row r="87" spans="1:7" ht="18" customHeight="1" thickBot="1" x14ac:dyDescent="0.3">
      <c r="A87" s="185" t="s">
        <v>624</v>
      </c>
      <c r="B87" s="186">
        <v>0</v>
      </c>
      <c r="C87" s="187">
        <v>0</v>
      </c>
      <c r="D87" s="140">
        <f>SUM(D83:D86)</f>
        <v>0</v>
      </c>
      <c r="E87" s="188">
        <f>SUM(E83:E86)</f>
        <v>0</v>
      </c>
      <c r="F87" s="189" t="e">
        <f t="shared" si="15"/>
        <v>#DIV/0!</v>
      </c>
      <c r="G87" s="190" t="e">
        <f t="shared" si="16"/>
        <v>#DIV/0!</v>
      </c>
    </row>
    <row r="88" spans="1:7" ht="24" customHeight="1" x14ac:dyDescent="0.25">
      <c r="A88" s="500" t="s">
        <v>548</v>
      </c>
      <c r="B88" s="501"/>
      <c r="C88" s="501"/>
      <c r="D88" s="501"/>
      <c r="E88" s="501"/>
      <c r="F88" s="501"/>
      <c r="G88" s="502"/>
    </row>
    <row r="89" spans="1:7" ht="66.75" customHeight="1" x14ac:dyDescent="0.25">
      <c r="A89" s="1" t="s">
        <v>92</v>
      </c>
      <c r="B89" s="2" t="s">
        <v>607</v>
      </c>
      <c r="C89" s="2" t="s">
        <v>608</v>
      </c>
      <c r="D89" s="2" t="s">
        <v>609</v>
      </c>
      <c r="E89" s="2" t="s">
        <v>613</v>
      </c>
      <c r="F89" s="2" t="s">
        <v>618</v>
      </c>
      <c r="G89" s="3" t="s">
        <v>614</v>
      </c>
    </row>
    <row r="90" spans="1:7" ht="18" customHeight="1" x14ac:dyDescent="0.25">
      <c r="A90" s="165" t="s">
        <v>615</v>
      </c>
      <c r="B90" s="164">
        <v>0</v>
      </c>
      <c r="C90" s="133">
        <v>0</v>
      </c>
      <c r="D90" s="134">
        <v>0</v>
      </c>
      <c r="E90" s="134">
        <v>0</v>
      </c>
      <c r="F90" s="133" t="e">
        <f>(E90-D90)/D90</f>
        <v>#DIV/0!</v>
      </c>
      <c r="G90" s="136" t="e">
        <f t="shared" ref="G90:G91" si="17">(F90-C90)/C90</f>
        <v>#DIV/0!</v>
      </c>
    </row>
    <row r="91" spans="1:7" ht="18" customHeight="1" x14ac:dyDescent="0.25">
      <c r="A91" s="165" t="s">
        <v>616</v>
      </c>
      <c r="B91" s="164">
        <v>0</v>
      </c>
      <c r="C91" s="133">
        <v>0</v>
      </c>
      <c r="D91" s="134">
        <v>0</v>
      </c>
      <c r="E91" s="134">
        <v>0</v>
      </c>
      <c r="F91" s="133" t="e">
        <f t="shared" ref="F91:F97" si="18">(E91-D91)/D91</f>
        <v>#DIV/0!</v>
      </c>
      <c r="G91" s="136" t="e">
        <f t="shared" si="17"/>
        <v>#DIV/0!</v>
      </c>
    </row>
    <row r="92" spans="1:7" ht="18" customHeight="1" x14ac:dyDescent="0.25">
      <c r="A92" s="165" t="s">
        <v>617</v>
      </c>
      <c r="B92" s="164">
        <v>0</v>
      </c>
      <c r="C92" s="133">
        <v>0</v>
      </c>
      <c r="D92" s="134">
        <v>0</v>
      </c>
      <c r="E92" s="134">
        <v>0</v>
      </c>
      <c r="F92" s="133" t="e">
        <f t="shared" si="18"/>
        <v>#DIV/0!</v>
      </c>
      <c r="G92" s="136" t="e">
        <f>(F92-C92)/C92</f>
        <v>#DIV/0!</v>
      </c>
    </row>
    <row r="93" spans="1:7" ht="30" customHeight="1" x14ac:dyDescent="0.25">
      <c r="A93" s="166" t="s">
        <v>611</v>
      </c>
      <c r="B93" s="164">
        <v>0</v>
      </c>
      <c r="C93" s="133">
        <v>0</v>
      </c>
      <c r="D93" s="134">
        <v>0</v>
      </c>
      <c r="E93" s="134">
        <v>0</v>
      </c>
      <c r="F93" s="133" t="e">
        <f t="shared" si="18"/>
        <v>#DIV/0!</v>
      </c>
      <c r="G93" s="136" t="e">
        <f t="shared" ref="G93:G97" si="19">(F93-C93)/C93</f>
        <v>#DIV/0!</v>
      </c>
    </row>
    <row r="94" spans="1:7" ht="30" customHeight="1" x14ac:dyDescent="0.25">
      <c r="A94" s="166" t="s">
        <v>69</v>
      </c>
      <c r="B94" s="164">
        <v>0</v>
      </c>
      <c r="C94" s="133">
        <v>0</v>
      </c>
      <c r="D94" s="134">
        <v>0</v>
      </c>
      <c r="E94" s="134">
        <v>0</v>
      </c>
      <c r="F94" s="133" t="e">
        <f t="shared" si="18"/>
        <v>#DIV/0!</v>
      </c>
      <c r="G94" s="136" t="e">
        <f t="shared" si="19"/>
        <v>#DIV/0!</v>
      </c>
    </row>
    <row r="95" spans="1:7" ht="30" customHeight="1" x14ac:dyDescent="0.25">
      <c r="A95" s="166" t="s">
        <v>610</v>
      </c>
      <c r="B95" s="164">
        <v>0</v>
      </c>
      <c r="C95" s="133">
        <v>0</v>
      </c>
      <c r="D95" s="134">
        <v>0</v>
      </c>
      <c r="E95" s="134">
        <v>0</v>
      </c>
      <c r="F95" s="133" t="e">
        <f t="shared" si="18"/>
        <v>#DIV/0!</v>
      </c>
      <c r="G95" s="136" t="e">
        <f t="shared" si="19"/>
        <v>#DIV/0!</v>
      </c>
    </row>
    <row r="96" spans="1:7" ht="30" customHeight="1" x14ac:dyDescent="0.25">
      <c r="A96" s="166" t="s">
        <v>612</v>
      </c>
      <c r="B96" s="164">
        <v>0</v>
      </c>
      <c r="C96" s="133">
        <v>0</v>
      </c>
      <c r="D96" s="134">
        <v>0</v>
      </c>
      <c r="E96" s="134">
        <v>0</v>
      </c>
      <c r="F96" s="133" t="e">
        <f t="shared" si="18"/>
        <v>#DIV/0!</v>
      </c>
      <c r="G96" s="136" t="e">
        <f t="shared" si="19"/>
        <v>#DIV/0!</v>
      </c>
    </row>
    <row r="97" spans="1:7" ht="18" customHeight="1" thickBot="1" x14ac:dyDescent="0.3">
      <c r="A97" s="167" t="s">
        <v>83</v>
      </c>
      <c r="B97" s="179"/>
      <c r="C97" s="138">
        <v>0</v>
      </c>
      <c r="D97" s="168">
        <f>SUM(D90:D96)</f>
        <v>0</v>
      </c>
      <c r="E97" s="140">
        <f>SUM(E90:E96)</f>
        <v>0</v>
      </c>
      <c r="F97" s="138" t="e">
        <f t="shared" si="18"/>
        <v>#DIV/0!</v>
      </c>
      <c r="G97" s="139" t="e">
        <f t="shared" si="19"/>
        <v>#DIV/0!</v>
      </c>
    </row>
    <row r="98" spans="1:7" ht="24" customHeight="1" x14ac:dyDescent="0.25">
      <c r="A98" s="500" t="s">
        <v>549</v>
      </c>
      <c r="B98" s="501"/>
      <c r="C98" s="501"/>
      <c r="D98" s="501"/>
      <c r="E98" s="501"/>
      <c r="F98" s="501"/>
      <c r="G98" s="502"/>
    </row>
    <row r="99" spans="1:7" ht="66.75" customHeight="1" x14ac:dyDescent="0.25">
      <c r="A99" s="1" t="s">
        <v>643</v>
      </c>
      <c r="B99" s="2" t="s">
        <v>644</v>
      </c>
      <c r="C99" s="2" t="s">
        <v>648</v>
      </c>
      <c r="D99" s="2" t="s">
        <v>645</v>
      </c>
      <c r="E99" s="2" t="s">
        <v>646</v>
      </c>
      <c r="F99" s="2" t="s">
        <v>647</v>
      </c>
      <c r="G99" s="3" t="s">
        <v>649</v>
      </c>
    </row>
    <row r="100" spans="1:7" ht="18" customHeight="1" thickBot="1" x14ac:dyDescent="0.3">
      <c r="A100" s="183">
        <v>0</v>
      </c>
      <c r="B100" s="148">
        <v>0</v>
      </c>
      <c r="C100" s="138" t="e">
        <f>(B100-A100)/A100</f>
        <v>#DIV/0!</v>
      </c>
      <c r="D100" s="184">
        <f>E97</f>
        <v>0</v>
      </c>
      <c r="E100" s="140">
        <f>D97</f>
        <v>0</v>
      </c>
      <c r="F100" s="148" t="e">
        <f>E100/D100</f>
        <v>#DIV/0!</v>
      </c>
      <c r="G100" s="139" t="e">
        <f>(F100-B100)/B100</f>
        <v>#DIV/0!</v>
      </c>
    </row>
    <row r="101" spans="1:7" ht="35.25" customHeight="1" thickBot="1" x14ac:dyDescent="0.3">
      <c r="A101" s="503" t="s">
        <v>622</v>
      </c>
      <c r="B101" s="504"/>
      <c r="C101" s="504"/>
      <c r="D101" s="504"/>
      <c r="E101" s="504"/>
      <c r="F101" s="504"/>
      <c r="G101" s="505"/>
    </row>
    <row r="102" spans="1:7" ht="24" customHeight="1" x14ac:dyDescent="0.25">
      <c r="A102" s="500" t="s">
        <v>655</v>
      </c>
      <c r="B102" s="501"/>
      <c r="C102" s="501"/>
      <c r="D102" s="501"/>
      <c r="E102" s="501"/>
      <c r="F102" s="501"/>
      <c r="G102" s="502"/>
    </row>
    <row r="103" spans="1:7" ht="55.9" customHeight="1" x14ac:dyDescent="0.25">
      <c r="A103" s="1" t="s">
        <v>135</v>
      </c>
      <c r="B103" s="2" t="s">
        <v>666</v>
      </c>
      <c r="C103" s="2" t="s">
        <v>665</v>
      </c>
      <c r="D103" s="2" t="s">
        <v>671</v>
      </c>
      <c r="E103" s="2" t="s">
        <v>667</v>
      </c>
      <c r="F103" s="2" t="s">
        <v>669</v>
      </c>
      <c r="G103" s="3" t="s">
        <v>670</v>
      </c>
    </row>
    <row r="104" spans="1:7" ht="18" customHeight="1" x14ac:dyDescent="0.25">
      <c r="A104" s="7" t="s">
        <v>650</v>
      </c>
      <c r="B104" s="2">
        <v>0</v>
      </c>
      <c r="C104" s="2">
        <v>0</v>
      </c>
      <c r="D104" s="2">
        <v>0</v>
      </c>
      <c r="E104" s="2">
        <v>0</v>
      </c>
      <c r="F104" s="157" t="e">
        <f>D104/C104</f>
        <v>#DIV/0!</v>
      </c>
      <c r="G104" s="115" t="e">
        <f>E104/D104</f>
        <v>#DIV/0!</v>
      </c>
    </row>
    <row r="105" spans="1:7" ht="18" customHeight="1" x14ac:dyDescent="0.25">
      <c r="A105" s="7" t="s">
        <v>651</v>
      </c>
      <c r="B105" s="2">
        <v>0</v>
      </c>
      <c r="C105" s="2">
        <v>0</v>
      </c>
      <c r="D105" s="2">
        <v>0</v>
      </c>
      <c r="E105" s="2">
        <v>0</v>
      </c>
      <c r="F105" s="157" t="e">
        <f t="shared" ref="F105:F108" si="20">D105/C105</f>
        <v>#DIV/0!</v>
      </c>
      <c r="G105" s="115" t="e">
        <f t="shared" ref="G105:G108" si="21">E105/D105</f>
        <v>#DIV/0!</v>
      </c>
    </row>
    <row r="106" spans="1:7" ht="18" customHeight="1" x14ac:dyDescent="0.25">
      <c r="A106" s="7" t="s">
        <v>652</v>
      </c>
      <c r="B106" s="2">
        <v>0</v>
      </c>
      <c r="C106" s="2">
        <v>0</v>
      </c>
      <c r="D106" s="2">
        <v>0</v>
      </c>
      <c r="E106" s="2">
        <v>0</v>
      </c>
      <c r="F106" s="157" t="e">
        <f t="shared" si="20"/>
        <v>#DIV/0!</v>
      </c>
      <c r="G106" s="115" t="e">
        <f>E106/D106</f>
        <v>#DIV/0!</v>
      </c>
    </row>
    <row r="107" spans="1:7" ht="18" customHeight="1" x14ac:dyDescent="0.25">
      <c r="A107" s="7" t="s">
        <v>653</v>
      </c>
      <c r="B107" s="2">
        <v>0</v>
      </c>
      <c r="C107" s="2">
        <v>0</v>
      </c>
      <c r="D107" s="2">
        <v>0</v>
      </c>
      <c r="E107" s="2">
        <v>0</v>
      </c>
      <c r="F107" s="157" t="e">
        <f t="shared" si="20"/>
        <v>#DIV/0!</v>
      </c>
      <c r="G107" s="115" t="e">
        <f>E107/D107</f>
        <v>#DIV/0!</v>
      </c>
    </row>
    <row r="108" spans="1:7" ht="18" customHeight="1" thickBot="1" x14ac:dyDescent="0.3">
      <c r="A108" s="185" t="s">
        <v>654</v>
      </c>
      <c r="B108" s="198">
        <v>0</v>
      </c>
      <c r="C108" s="198">
        <v>0</v>
      </c>
      <c r="D108" s="199">
        <v>0</v>
      </c>
      <c r="E108" s="199">
        <v>0</v>
      </c>
      <c r="F108" s="31" t="e">
        <f t="shared" si="20"/>
        <v>#DIV/0!</v>
      </c>
      <c r="G108" s="190" t="e">
        <f t="shared" si="21"/>
        <v>#DIV/0!</v>
      </c>
    </row>
    <row r="109" spans="1:7" ht="24" customHeight="1" x14ac:dyDescent="0.25">
      <c r="A109" s="500" t="s">
        <v>435</v>
      </c>
      <c r="B109" s="501"/>
      <c r="C109" s="501"/>
      <c r="D109" s="501"/>
      <c r="E109" s="501"/>
      <c r="F109" s="501"/>
      <c r="G109" s="502"/>
    </row>
    <row r="110" spans="1:7" ht="55.9" customHeight="1" x14ac:dyDescent="0.25">
      <c r="A110" s="1" t="s">
        <v>135</v>
      </c>
      <c r="B110" s="2" t="s">
        <v>666</v>
      </c>
      <c r="C110" s="2" t="s">
        <v>665</v>
      </c>
      <c r="D110" s="2" t="s">
        <v>664</v>
      </c>
      <c r="E110" s="2" t="s">
        <v>667</v>
      </c>
      <c r="F110" s="2" t="s">
        <v>669</v>
      </c>
      <c r="G110" s="3" t="s">
        <v>670</v>
      </c>
    </row>
    <row r="111" spans="1:7" ht="18" customHeight="1" x14ac:dyDescent="0.25">
      <c r="A111" s="7" t="s">
        <v>469</v>
      </c>
      <c r="B111" s="2">
        <v>0</v>
      </c>
      <c r="C111" s="2">
        <v>0</v>
      </c>
      <c r="D111" s="2">
        <v>0</v>
      </c>
      <c r="E111" s="2">
        <v>0</v>
      </c>
      <c r="F111" s="157" t="e">
        <f>D111/C111</f>
        <v>#DIV/0!</v>
      </c>
      <c r="G111" s="115" t="e">
        <f>E111/D111</f>
        <v>#DIV/0!</v>
      </c>
    </row>
    <row r="112" spans="1:7" ht="18" customHeight="1" x14ac:dyDescent="0.25">
      <c r="A112" s="7" t="s">
        <v>436</v>
      </c>
      <c r="B112" s="2">
        <v>0</v>
      </c>
      <c r="C112" s="2">
        <v>0</v>
      </c>
      <c r="D112" s="2">
        <v>0</v>
      </c>
      <c r="E112" s="2">
        <v>0</v>
      </c>
      <c r="F112" s="157" t="e">
        <f t="shared" ref="F112:F115" si="22">D112/C112</f>
        <v>#DIV/0!</v>
      </c>
      <c r="G112" s="115" t="e">
        <f t="shared" ref="G112:G115" si="23">E112/D112</f>
        <v>#DIV/0!</v>
      </c>
    </row>
    <row r="113" spans="1:7" ht="18" customHeight="1" x14ac:dyDescent="0.25">
      <c r="A113" s="7" t="s">
        <v>449</v>
      </c>
      <c r="B113" s="2">
        <v>0</v>
      </c>
      <c r="C113" s="2">
        <v>0</v>
      </c>
      <c r="D113" s="2">
        <v>0</v>
      </c>
      <c r="E113" s="2">
        <v>0</v>
      </c>
      <c r="F113" s="157" t="e">
        <f t="shared" si="22"/>
        <v>#DIV/0!</v>
      </c>
      <c r="G113" s="115" t="e">
        <f t="shared" si="23"/>
        <v>#DIV/0!</v>
      </c>
    </row>
    <row r="114" spans="1:7" ht="18" customHeight="1" x14ac:dyDescent="0.25">
      <c r="A114" s="7" t="s">
        <v>452</v>
      </c>
      <c r="B114" s="2">
        <v>0</v>
      </c>
      <c r="C114" s="2">
        <v>0</v>
      </c>
      <c r="D114" s="2">
        <v>0</v>
      </c>
      <c r="E114" s="2">
        <v>0</v>
      </c>
      <c r="F114" s="157" t="e">
        <f t="shared" si="22"/>
        <v>#DIV/0!</v>
      </c>
      <c r="G114" s="115" t="e">
        <f t="shared" si="23"/>
        <v>#DIV/0!</v>
      </c>
    </row>
    <row r="115" spans="1:7" ht="18" customHeight="1" x14ac:dyDescent="0.25">
      <c r="A115" s="7" t="s">
        <v>656</v>
      </c>
      <c r="B115" s="176">
        <v>0</v>
      </c>
      <c r="C115" s="176">
        <v>0</v>
      </c>
      <c r="D115" s="175">
        <v>0</v>
      </c>
      <c r="E115" s="175">
        <v>0</v>
      </c>
      <c r="F115" s="157" t="e">
        <f t="shared" si="22"/>
        <v>#DIV/0!</v>
      </c>
      <c r="G115" s="115" t="e">
        <f t="shared" si="23"/>
        <v>#DIV/0!</v>
      </c>
    </row>
    <row r="116" spans="1:7" ht="18" customHeight="1" x14ac:dyDescent="0.25">
      <c r="A116" s="7" t="s">
        <v>467</v>
      </c>
      <c r="B116" s="2">
        <v>0</v>
      </c>
      <c r="C116" s="2">
        <v>0</v>
      </c>
      <c r="D116" s="2">
        <v>0</v>
      </c>
      <c r="E116" s="2">
        <v>0</v>
      </c>
      <c r="F116" s="157" t="e">
        <f t="shared" ref="F116:F117" si="24">D116/C116</f>
        <v>#DIV/0!</v>
      </c>
      <c r="G116" s="115" t="e">
        <f t="shared" ref="G116:G117" si="25">E116/D116</f>
        <v>#DIV/0!</v>
      </c>
    </row>
    <row r="117" spans="1:7" ht="18" customHeight="1" thickBot="1" x14ac:dyDescent="0.3">
      <c r="A117" s="182" t="s">
        <v>468</v>
      </c>
      <c r="B117" s="198">
        <v>0</v>
      </c>
      <c r="C117" s="198">
        <v>0</v>
      </c>
      <c r="D117" s="199">
        <v>0</v>
      </c>
      <c r="E117" s="199">
        <v>0</v>
      </c>
      <c r="F117" s="31" t="e">
        <f t="shared" si="24"/>
        <v>#DIV/0!</v>
      </c>
      <c r="G117" s="190" t="e">
        <f t="shared" si="25"/>
        <v>#DIV/0!</v>
      </c>
    </row>
    <row r="118" spans="1:7" ht="24" customHeight="1" x14ac:dyDescent="0.25">
      <c r="A118" s="500" t="s">
        <v>547</v>
      </c>
      <c r="B118" s="501"/>
      <c r="C118" s="501"/>
      <c r="D118" s="501"/>
      <c r="E118" s="501"/>
      <c r="F118" s="501"/>
      <c r="G118" s="502"/>
    </row>
    <row r="119" spans="1:7" ht="66.75" customHeight="1" x14ac:dyDescent="0.25">
      <c r="A119" s="1" t="s">
        <v>92</v>
      </c>
      <c r="B119" s="2" t="s">
        <v>658</v>
      </c>
      <c r="C119" s="2" t="s">
        <v>659</v>
      </c>
      <c r="D119" s="2" t="s">
        <v>660</v>
      </c>
      <c r="E119" s="2" t="s">
        <v>661</v>
      </c>
      <c r="F119" s="2" t="s">
        <v>662</v>
      </c>
      <c r="G119" s="3" t="s">
        <v>663</v>
      </c>
    </row>
    <row r="120" spans="1:7" ht="18" customHeight="1" x14ac:dyDescent="0.25">
      <c r="A120" s="145" t="s">
        <v>78</v>
      </c>
      <c r="B120" s="174">
        <v>0</v>
      </c>
      <c r="C120" s="164">
        <v>0</v>
      </c>
      <c r="D120" s="164">
        <v>0</v>
      </c>
      <c r="E120" s="175">
        <v>0</v>
      </c>
      <c r="F120" s="176">
        <v>0</v>
      </c>
      <c r="G120" s="177" t="e">
        <f>F120/E120</f>
        <v>#DIV/0!</v>
      </c>
    </row>
    <row r="121" spans="1:7" ht="18" customHeight="1" x14ac:dyDescent="0.25">
      <c r="A121" s="145" t="s">
        <v>121</v>
      </c>
      <c r="B121" s="174">
        <v>0</v>
      </c>
      <c r="C121" s="164">
        <v>0</v>
      </c>
      <c r="D121" s="164">
        <v>0</v>
      </c>
      <c r="E121" s="175">
        <v>0</v>
      </c>
      <c r="F121" s="174">
        <v>0</v>
      </c>
      <c r="G121" s="177" t="e">
        <f t="shared" ref="G121:G124" si="26">F121/E121</f>
        <v>#DIV/0!</v>
      </c>
    </row>
    <row r="122" spans="1:7" ht="18" customHeight="1" x14ac:dyDescent="0.25">
      <c r="A122" s="145" t="s">
        <v>69</v>
      </c>
      <c r="B122" s="174">
        <v>0</v>
      </c>
      <c r="C122" s="164">
        <v>0</v>
      </c>
      <c r="D122" s="164">
        <v>0</v>
      </c>
      <c r="E122" s="175">
        <v>0</v>
      </c>
      <c r="F122" s="174">
        <v>0</v>
      </c>
      <c r="G122" s="177" t="e">
        <f t="shared" si="26"/>
        <v>#DIV/0!</v>
      </c>
    </row>
    <row r="123" spans="1:7" ht="18" customHeight="1" x14ac:dyDescent="0.25">
      <c r="A123" s="145" t="s">
        <v>512</v>
      </c>
      <c r="B123" s="174">
        <v>0</v>
      </c>
      <c r="C123" s="164">
        <v>0</v>
      </c>
      <c r="D123" s="164">
        <v>0</v>
      </c>
      <c r="E123" s="175">
        <v>0</v>
      </c>
      <c r="F123" s="174">
        <v>0</v>
      </c>
      <c r="G123" s="177" t="e">
        <f t="shared" si="26"/>
        <v>#DIV/0!</v>
      </c>
    </row>
    <row r="124" spans="1:7" ht="18" customHeight="1" thickBot="1" x14ac:dyDescent="0.3">
      <c r="A124" s="163" t="s">
        <v>657</v>
      </c>
      <c r="B124" s="121">
        <v>0</v>
      </c>
      <c r="C124" s="178">
        <v>0</v>
      </c>
      <c r="D124" s="179">
        <v>0</v>
      </c>
      <c r="E124" s="180">
        <v>0</v>
      </c>
      <c r="F124" s="121">
        <v>0</v>
      </c>
      <c r="G124" s="181" t="e">
        <f t="shared" si="26"/>
        <v>#DIV/0!</v>
      </c>
    </row>
    <row r="125" spans="1:7" x14ac:dyDescent="0.25">
      <c r="A125" s="512"/>
      <c r="B125" s="512"/>
      <c r="C125" s="512"/>
      <c r="D125" s="512"/>
      <c r="E125" s="512"/>
      <c r="F125" s="512"/>
      <c r="G125" s="512"/>
    </row>
    <row r="127" spans="1:7" ht="15" thickBot="1" x14ac:dyDescent="0.3"/>
    <row r="128" spans="1:7" ht="35.25" customHeight="1" thickBot="1" x14ac:dyDescent="0.3">
      <c r="A128" s="503" t="s">
        <v>584</v>
      </c>
      <c r="B128" s="504"/>
      <c r="C128" s="504"/>
      <c r="D128" s="504"/>
      <c r="E128" s="504"/>
      <c r="F128" s="504"/>
      <c r="G128" s="505"/>
    </row>
    <row r="129" spans="1:7" ht="24" customHeight="1" x14ac:dyDescent="0.25">
      <c r="A129" s="500" t="s">
        <v>543</v>
      </c>
      <c r="B129" s="501"/>
      <c r="C129" s="501"/>
      <c r="D129" s="501"/>
      <c r="E129" s="501"/>
      <c r="F129" s="501"/>
      <c r="G129" s="502"/>
    </row>
    <row r="130" spans="1:7" ht="55.9" customHeight="1" x14ac:dyDescent="0.25">
      <c r="A130" s="1"/>
      <c r="B130" s="2" t="s">
        <v>678</v>
      </c>
      <c r="C130" s="2" t="s">
        <v>679</v>
      </c>
      <c r="D130" s="2" t="s">
        <v>680</v>
      </c>
      <c r="E130" s="2" t="s">
        <v>681</v>
      </c>
      <c r="F130" s="2" t="s">
        <v>682</v>
      </c>
      <c r="G130" s="3" t="s">
        <v>668</v>
      </c>
    </row>
    <row r="131" spans="1:7" ht="18" customHeight="1" x14ac:dyDescent="0.25">
      <c r="A131" s="7" t="s">
        <v>672</v>
      </c>
      <c r="B131" s="125">
        <v>0</v>
      </c>
      <c r="C131" s="125">
        <v>0</v>
      </c>
      <c r="D131" s="2">
        <v>0</v>
      </c>
      <c r="E131" s="2">
        <v>0</v>
      </c>
      <c r="F131" s="157" t="e">
        <f>E131/D131</f>
        <v>#DIV/0!</v>
      </c>
      <c r="G131" s="115" t="e">
        <f>(F131-C131)/C131</f>
        <v>#DIV/0!</v>
      </c>
    </row>
    <row r="132" spans="1:7" ht="18" customHeight="1" x14ac:dyDescent="0.25">
      <c r="A132" s="7" t="s">
        <v>673</v>
      </c>
      <c r="B132" s="125">
        <v>0</v>
      </c>
      <c r="C132" s="125">
        <v>0</v>
      </c>
      <c r="D132" s="2">
        <v>0</v>
      </c>
      <c r="E132" s="2">
        <v>0</v>
      </c>
      <c r="F132" s="157" t="e">
        <f t="shared" ref="F132:F136" si="27">E132/D132</f>
        <v>#DIV/0!</v>
      </c>
      <c r="G132" s="115" t="e">
        <f t="shared" ref="G132:G136" si="28">(F132-C132)/C132</f>
        <v>#DIV/0!</v>
      </c>
    </row>
    <row r="133" spans="1:7" ht="18" customHeight="1" x14ac:dyDescent="0.25">
      <c r="A133" s="7" t="s">
        <v>674</v>
      </c>
      <c r="B133" s="125">
        <v>0</v>
      </c>
      <c r="C133" s="125">
        <v>0</v>
      </c>
      <c r="D133" s="2">
        <v>0</v>
      </c>
      <c r="E133" s="2">
        <v>0</v>
      </c>
      <c r="F133" s="157" t="e">
        <f t="shared" si="27"/>
        <v>#DIV/0!</v>
      </c>
      <c r="G133" s="115" t="e">
        <f t="shared" si="28"/>
        <v>#DIV/0!</v>
      </c>
    </row>
    <row r="134" spans="1:7" ht="18" customHeight="1" x14ac:dyDescent="0.25">
      <c r="A134" s="7" t="s">
        <v>675</v>
      </c>
      <c r="B134" s="125">
        <v>0</v>
      </c>
      <c r="C134" s="125">
        <v>0</v>
      </c>
      <c r="D134" s="2">
        <v>0</v>
      </c>
      <c r="E134" s="2">
        <v>0</v>
      </c>
      <c r="F134" s="157" t="e">
        <f t="shared" si="27"/>
        <v>#DIV/0!</v>
      </c>
      <c r="G134" s="115" t="e">
        <f t="shared" si="28"/>
        <v>#DIV/0!</v>
      </c>
    </row>
    <row r="135" spans="1:7" ht="18" customHeight="1" x14ac:dyDescent="0.25">
      <c r="A135" s="7" t="s">
        <v>676</v>
      </c>
      <c r="B135" s="125">
        <v>0</v>
      </c>
      <c r="C135" s="125">
        <v>0</v>
      </c>
      <c r="D135" s="2">
        <v>0</v>
      </c>
      <c r="E135" s="2">
        <v>0</v>
      </c>
      <c r="F135" s="157" t="e">
        <f t="shared" si="27"/>
        <v>#DIV/0!</v>
      </c>
      <c r="G135" s="115" t="e">
        <f t="shared" si="28"/>
        <v>#DIV/0!</v>
      </c>
    </row>
    <row r="136" spans="1:7" ht="18" customHeight="1" thickBot="1" x14ac:dyDescent="0.3">
      <c r="A136" s="201" t="s">
        <v>677</v>
      </c>
      <c r="B136" s="203">
        <v>0</v>
      </c>
      <c r="C136" s="203">
        <v>0</v>
      </c>
      <c r="D136" s="5">
        <v>0</v>
      </c>
      <c r="E136" s="5">
        <v>0</v>
      </c>
      <c r="F136" s="31" t="e">
        <f t="shared" si="27"/>
        <v>#DIV/0!</v>
      </c>
      <c r="G136" s="190" t="e">
        <f t="shared" si="28"/>
        <v>#DIV/0!</v>
      </c>
    </row>
    <row r="137" spans="1:7" ht="24" customHeight="1" x14ac:dyDescent="0.25">
      <c r="A137" s="500" t="s">
        <v>702</v>
      </c>
      <c r="B137" s="501"/>
      <c r="C137" s="501"/>
      <c r="D137" s="501"/>
      <c r="E137" s="501"/>
      <c r="F137" s="501"/>
      <c r="G137" s="502"/>
    </row>
    <row r="138" spans="1:7" ht="55.9" customHeight="1" x14ac:dyDescent="0.25">
      <c r="A138" s="1"/>
      <c r="B138" s="2" t="s">
        <v>691</v>
      </c>
      <c r="C138" s="2" t="s">
        <v>704</v>
      </c>
      <c r="D138" s="2" t="s">
        <v>703</v>
      </c>
      <c r="E138" s="2" t="s">
        <v>692</v>
      </c>
      <c r="F138" s="2" t="s">
        <v>693</v>
      </c>
      <c r="G138" s="3" t="s">
        <v>668</v>
      </c>
    </row>
    <row r="139" spans="1:7" ht="18" customHeight="1" x14ac:dyDescent="0.25">
      <c r="A139" s="7" t="s">
        <v>672</v>
      </c>
      <c r="B139" s="125">
        <v>0</v>
      </c>
      <c r="C139" s="125">
        <v>0</v>
      </c>
      <c r="D139" s="2">
        <v>0</v>
      </c>
      <c r="E139" s="2">
        <v>0</v>
      </c>
      <c r="F139" s="157" t="e">
        <f>E139/D139</f>
        <v>#DIV/0!</v>
      </c>
      <c r="G139" s="115" t="e">
        <f>(F139-C139)/C139</f>
        <v>#DIV/0!</v>
      </c>
    </row>
    <row r="140" spans="1:7" ht="18" customHeight="1" x14ac:dyDescent="0.25">
      <c r="A140" s="7" t="s">
        <v>673</v>
      </c>
      <c r="B140" s="125">
        <v>0</v>
      </c>
      <c r="C140" s="125">
        <v>0</v>
      </c>
      <c r="D140" s="2">
        <v>0</v>
      </c>
      <c r="E140" s="2">
        <v>0</v>
      </c>
      <c r="F140" s="157" t="e">
        <f t="shared" ref="F140:F144" si="29">E140/D140</f>
        <v>#DIV/0!</v>
      </c>
      <c r="G140" s="115" t="e">
        <f t="shared" ref="G140:G144" si="30">(F140-C140)/C140</f>
        <v>#DIV/0!</v>
      </c>
    </row>
    <row r="141" spans="1:7" ht="18" customHeight="1" x14ac:dyDescent="0.25">
      <c r="A141" s="7" t="s">
        <v>674</v>
      </c>
      <c r="B141" s="125">
        <v>0</v>
      </c>
      <c r="C141" s="125">
        <v>0</v>
      </c>
      <c r="D141" s="2">
        <v>0</v>
      </c>
      <c r="E141" s="2">
        <v>0</v>
      </c>
      <c r="F141" s="157" t="e">
        <f t="shared" si="29"/>
        <v>#DIV/0!</v>
      </c>
      <c r="G141" s="115" t="e">
        <f t="shared" si="30"/>
        <v>#DIV/0!</v>
      </c>
    </row>
    <row r="142" spans="1:7" ht="18" customHeight="1" x14ac:dyDescent="0.25">
      <c r="A142" s="7" t="s">
        <v>675</v>
      </c>
      <c r="B142" s="125">
        <v>0</v>
      </c>
      <c r="C142" s="125">
        <v>0</v>
      </c>
      <c r="D142" s="2">
        <v>0</v>
      </c>
      <c r="E142" s="2">
        <v>0</v>
      </c>
      <c r="F142" s="157" t="e">
        <f t="shared" si="29"/>
        <v>#DIV/0!</v>
      </c>
      <c r="G142" s="115" t="e">
        <f t="shared" si="30"/>
        <v>#DIV/0!</v>
      </c>
    </row>
    <row r="143" spans="1:7" ht="18" customHeight="1" x14ac:dyDescent="0.25">
      <c r="A143" s="7" t="s">
        <v>676</v>
      </c>
      <c r="B143" s="125">
        <v>0</v>
      </c>
      <c r="C143" s="125">
        <v>0</v>
      </c>
      <c r="D143" s="2">
        <v>0</v>
      </c>
      <c r="E143" s="2">
        <v>0</v>
      </c>
      <c r="F143" s="157" t="e">
        <f t="shared" si="29"/>
        <v>#DIV/0!</v>
      </c>
      <c r="G143" s="115" t="e">
        <f t="shared" si="30"/>
        <v>#DIV/0!</v>
      </c>
    </row>
    <row r="144" spans="1:7" ht="18" customHeight="1" thickBot="1" x14ac:dyDescent="0.3">
      <c r="A144" s="201" t="s">
        <v>677</v>
      </c>
      <c r="B144" s="203">
        <v>0</v>
      </c>
      <c r="C144" s="203">
        <v>0</v>
      </c>
      <c r="D144" s="5">
        <v>0</v>
      </c>
      <c r="E144" s="5">
        <v>0</v>
      </c>
      <c r="F144" s="31" t="e">
        <f t="shared" si="29"/>
        <v>#DIV/0!</v>
      </c>
      <c r="G144" s="190" t="e">
        <f t="shared" si="30"/>
        <v>#DIV/0!</v>
      </c>
    </row>
    <row r="145" spans="1:7" ht="24" customHeight="1" x14ac:dyDescent="0.25">
      <c r="A145" s="500" t="s">
        <v>544</v>
      </c>
      <c r="B145" s="501"/>
      <c r="C145" s="501"/>
      <c r="D145" s="501"/>
      <c r="E145" s="501"/>
      <c r="F145" s="501"/>
      <c r="G145" s="502"/>
    </row>
    <row r="146" spans="1:7" ht="55.9" customHeight="1" x14ac:dyDescent="0.25">
      <c r="A146" s="1"/>
      <c r="B146" s="2" t="s">
        <v>694</v>
      </c>
      <c r="C146" s="2" t="s">
        <v>695</v>
      </c>
      <c r="D146" s="2" t="s">
        <v>692</v>
      </c>
      <c r="E146" s="2" t="s">
        <v>696</v>
      </c>
      <c r="F146" s="2" t="s">
        <v>697</v>
      </c>
      <c r="G146" s="3" t="s">
        <v>668</v>
      </c>
    </row>
    <row r="147" spans="1:7" ht="18" customHeight="1" x14ac:dyDescent="0.25">
      <c r="A147" s="7" t="s">
        <v>672</v>
      </c>
      <c r="B147" s="125">
        <v>0</v>
      </c>
      <c r="C147" s="125">
        <v>0</v>
      </c>
      <c r="D147" s="2">
        <v>0</v>
      </c>
      <c r="E147" s="2">
        <v>0</v>
      </c>
      <c r="F147" s="157" t="e">
        <f>E147/D147</f>
        <v>#DIV/0!</v>
      </c>
      <c r="G147" s="115" t="e">
        <f>(F147-C147)/C147</f>
        <v>#DIV/0!</v>
      </c>
    </row>
    <row r="148" spans="1:7" ht="18" customHeight="1" x14ac:dyDescent="0.25">
      <c r="A148" s="7" t="s">
        <v>673</v>
      </c>
      <c r="B148" s="125">
        <v>0</v>
      </c>
      <c r="C148" s="125">
        <v>0</v>
      </c>
      <c r="D148" s="2">
        <v>0</v>
      </c>
      <c r="E148" s="2">
        <v>0</v>
      </c>
      <c r="F148" s="157" t="e">
        <f t="shared" ref="F148:F152" si="31">E148/D148</f>
        <v>#DIV/0!</v>
      </c>
      <c r="G148" s="115" t="e">
        <f t="shared" ref="G148:G152" si="32">(F148-C148)/C148</f>
        <v>#DIV/0!</v>
      </c>
    </row>
    <row r="149" spans="1:7" ht="18" customHeight="1" x14ac:dyDescent="0.25">
      <c r="A149" s="7" t="s">
        <v>674</v>
      </c>
      <c r="B149" s="125">
        <v>0</v>
      </c>
      <c r="C149" s="125">
        <v>0</v>
      </c>
      <c r="D149" s="2">
        <v>0</v>
      </c>
      <c r="E149" s="2">
        <v>0</v>
      </c>
      <c r="F149" s="157" t="e">
        <f t="shared" si="31"/>
        <v>#DIV/0!</v>
      </c>
      <c r="G149" s="115" t="e">
        <f t="shared" si="32"/>
        <v>#DIV/0!</v>
      </c>
    </row>
    <row r="150" spans="1:7" ht="18" customHeight="1" x14ac:dyDescent="0.25">
      <c r="A150" s="7" t="s">
        <v>675</v>
      </c>
      <c r="B150" s="125">
        <v>0</v>
      </c>
      <c r="C150" s="125">
        <v>0</v>
      </c>
      <c r="D150" s="2">
        <v>0</v>
      </c>
      <c r="E150" s="2">
        <v>0</v>
      </c>
      <c r="F150" s="157" t="e">
        <f t="shared" si="31"/>
        <v>#DIV/0!</v>
      </c>
      <c r="G150" s="115" t="e">
        <f t="shared" si="32"/>
        <v>#DIV/0!</v>
      </c>
    </row>
    <row r="151" spans="1:7" ht="18" customHeight="1" x14ac:dyDescent="0.25">
      <c r="A151" s="7" t="s">
        <v>676</v>
      </c>
      <c r="B151" s="125">
        <v>0</v>
      </c>
      <c r="C151" s="125">
        <v>0</v>
      </c>
      <c r="D151" s="2">
        <v>0</v>
      </c>
      <c r="E151" s="2">
        <v>0</v>
      </c>
      <c r="F151" s="157" t="e">
        <f t="shared" si="31"/>
        <v>#DIV/0!</v>
      </c>
      <c r="G151" s="115" t="e">
        <f t="shared" si="32"/>
        <v>#DIV/0!</v>
      </c>
    </row>
    <row r="152" spans="1:7" ht="18" customHeight="1" thickBot="1" x14ac:dyDescent="0.3">
      <c r="A152" s="201" t="s">
        <v>677</v>
      </c>
      <c r="B152" s="203">
        <v>0</v>
      </c>
      <c r="C152" s="203">
        <v>0</v>
      </c>
      <c r="D152" s="5">
        <v>0</v>
      </c>
      <c r="E152" s="5">
        <v>0</v>
      </c>
      <c r="F152" s="31" t="e">
        <f t="shared" si="31"/>
        <v>#DIV/0!</v>
      </c>
      <c r="G152" s="190" t="e">
        <f t="shared" si="32"/>
        <v>#DIV/0!</v>
      </c>
    </row>
    <row r="153" spans="1:7" ht="35.25" customHeight="1" thickBot="1" x14ac:dyDescent="0.3">
      <c r="A153" s="503" t="s">
        <v>683</v>
      </c>
      <c r="B153" s="504"/>
      <c r="C153" s="504"/>
      <c r="D153" s="504"/>
      <c r="E153" s="504"/>
      <c r="F153" s="504"/>
      <c r="G153" s="505"/>
    </row>
    <row r="154" spans="1:7" ht="24" customHeight="1" x14ac:dyDescent="0.25">
      <c r="A154" s="500" t="s">
        <v>684</v>
      </c>
      <c r="B154" s="501"/>
      <c r="C154" s="501"/>
      <c r="D154" s="501"/>
      <c r="E154" s="501"/>
      <c r="F154" s="501"/>
      <c r="G154" s="502"/>
    </row>
    <row r="155" spans="1:7" ht="55.9" customHeight="1" x14ac:dyDescent="0.25">
      <c r="A155" s="1"/>
      <c r="B155" s="2" t="s">
        <v>698</v>
      </c>
      <c r="C155" s="2" t="s">
        <v>699</v>
      </c>
      <c r="D155" s="2" t="s">
        <v>680</v>
      </c>
      <c r="E155" s="2" t="s">
        <v>700</v>
      </c>
      <c r="F155" s="2" t="s">
        <v>701</v>
      </c>
      <c r="G155" s="3" t="s">
        <v>668</v>
      </c>
    </row>
    <row r="156" spans="1:7" ht="18" customHeight="1" x14ac:dyDescent="0.25">
      <c r="A156" s="7" t="s">
        <v>672</v>
      </c>
      <c r="B156" s="125">
        <v>0</v>
      </c>
      <c r="C156" s="125">
        <v>0</v>
      </c>
      <c r="D156" s="2">
        <v>0</v>
      </c>
      <c r="E156" s="2">
        <v>0</v>
      </c>
      <c r="F156" s="200" t="e">
        <f>E156/D156</f>
        <v>#DIV/0!</v>
      </c>
      <c r="G156" s="115" t="e">
        <f>(F156-C156)/C156</f>
        <v>#DIV/0!</v>
      </c>
    </row>
    <row r="157" spans="1:7" ht="18" customHeight="1" x14ac:dyDescent="0.25">
      <c r="A157" s="7" t="s">
        <v>673</v>
      </c>
      <c r="B157" s="125">
        <v>0</v>
      </c>
      <c r="C157" s="125">
        <v>0</v>
      </c>
      <c r="D157" s="2">
        <v>0</v>
      </c>
      <c r="E157" s="2">
        <v>0</v>
      </c>
      <c r="F157" s="200" t="e">
        <f t="shared" ref="F157:F161" si="33">E157/D157</f>
        <v>#DIV/0!</v>
      </c>
      <c r="G157" s="115" t="e">
        <f t="shared" ref="G157:G161" si="34">(F157-C157)/C157</f>
        <v>#DIV/0!</v>
      </c>
    </row>
    <row r="158" spans="1:7" ht="18" customHeight="1" x14ac:dyDescent="0.25">
      <c r="A158" s="7" t="s">
        <v>674</v>
      </c>
      <c r="B158" s="125">
        <v>0</v>
      </c>
      <c r="C158" s="125">
        <v>0</v>
      </c>
      <c r="D158" s="2">
        <v>0</v>
      </c>
      <c r="E158" s="2">
        <v>0</v>
      </c>
      <c r="F158" s="200" t="e">
        <f t="shared" si="33"/>
        <v>#DIV/0!</v>
      </c>
      <c r="G158" s="115" t="e">
        <f t="shared" si="34"/>
        <v>#DIV/0!</v>
      </c>
    </row>
    <row r="159" spans="1:7" ht="18" customHeight="1" x14ac:dyDescent="0.25">
      <c r="A159" s="7" t="s">
        <v>675</v>
      </c>
      <c r="B159" s="125">
        <v>0</v>
      </c>
      <c r="C159" s="125">
        <v>0</v>
      </c>
      <c r="D159" s="2">
        <v>0</v>
      </c>
      <c r="E159" s="2">
        <v>0</v>
      </c>
      <c r="F159" s="200" t="e">
        <f t="shared" si="33"/>
        <v>#DIV/0!</v>
      </c>
      <c r="G159" s="115" t="e">
        <f t="shared" si="34"/>
        <v>#DIV/0!</v>
      </c>
    </row>
    <row r="160" spans="1:7" ht="18" customHeight="1" x14ac:dyDescent="0.25">
      <c r="A160" s="7" t="s">
        <v>676</v>
      </c>
      <c r="B160" s="125">
        <v>0</v>
      </c>
      <c r="C160" s="125">
        <v>0</v>
      </c>
      <c r="D160" s="2">
        <v>0</v>
      </c>
      <c r="E160" s="2">
        <v>0</v>
      </c>
      <c r="F160" s="200" t="e">
        <f t="shared" si="33"/>
        <v>#DIV/0!</v>
      </c>
      <c r="G160" s="115" t="e">
        <f t="shared" si="34"/>
        <v>#DIV/0!</v>
      </c>
    </row>
    <row r="161" spans="1:7" ht="18" customHeight="1" thickBot="1" x14ac:dyDescent="0.3">
      <c r="A161" s="201" t="s">
        <v>677</v>
      </c>
      <c r="B161" s="203">
        <v>0</v>
      </c>
      <c r="C161" s="203">
        <v>0</v>
      </c>
      <c r="D161" s="5">
        <v>0</v>
      </c>
      <c r="E161" s="5">
        <v>0</v>
      </c>
      <c r="F161" s="205" t="e">
        <f t="shared" si="33"/>
        <v>#DIV/0!</v>
      </c>
      <c r="G161" s="190" t="e">
        <f t="shared" si="34"/>
        <v>#DIV/0!</v>
      </c>
    </row>
    <row r="162" spans="1:7" ht="24" customHeight="1" x14ac:dyDescent="0.25">
      <c r="A162" s="500" t="s">
        <v>685</v>
      </c>
      <c r="B162" s="501"/>
      <c r="C162" s="501"/>
      <c r="D162" s="501"/>
      <c r="E162" s="501"/>
      <c r="F162" s="501"/>
      <c r="G162" s="502"/>
    </row>
    <row r="163" spans="1:7" ht="55.9" customHeight="1" x14ac:dyDescent="0.25">
      <c r="A163" s="1"/>
      <c r="B163" s="2" t="s">
        <v>686</v>
      </c>
      <c r="C163" s="2" t="s">
        <v>687</v>
      </c>
      <c r="D163" s="2" t="s">
        <v>688</v>
      </c>
      <c r="E163" s="2" t="s">
        <v>689</v>
      </c>
      <c r="F163" s="2" t="s">
        <v>690</v>
      </c>
      <c r="G163" s="3" t="s">
        <v>668</v>
      </c>
    </row>
    <row r="164" spans="1:7" ht="18" customHeight="1" x14ac:dyDescent="0.25">
      <c r="A164" s="7" t="s">
        <v>705</v>
      </c>
      <c r="B164" s="125">
        <v>0</v>
      </c>
      <c r="C164" s="125">
        <v>0</v>
      </c>
      <c r="D164" s="2">
        <v>0</v>
      </c>
      <c r="E164" s="2">
        <v>0</v>
      </c>
      <c r="F164" s="157" t="e">
        <f>E164/D164</f>
        <v>#DIV/0!</v>
      </c>
      <c r="G164" s="115" t="e">
        <f>(F164-C164)/C164</f>
        <v>#DIV/0!</v>
      </c>
    </row>
    <row r="165" spans="1:7" ht="18" customHeight="1" x14ac:dyDescent="0.25">
      <c r="A165" s="7" t="s">
        <v>706</v>
      </c>
      <c r="B165" s="125">
        <v>0</v>
      </c>
      <c r="C165" s="125">
        <v>0</v>
      </c>
      <c r="D165" s="2">
        <v>0</v>
      </c>
      <c r="E165" s="2">
        <v>0</v>
      </c>
      <c r="F165" s="157" t="e">
        <f t="shared" ref="F165:F169" si="35">E165/D165</f>
        <v>#DIV/0!</v>
      </c>
      <c r="G165" s="115" t="e">
        <f t="shared" ref="G165:G169" si="36">(F165-C165)/C165</f>
        <v>#DIV/0!</v>
      </c>
    </row>
    <row r="166" spans="1:7" ht="18" customHeight="1" x14ac:dyDescent="0.25">
      <c r="A166" s="7" t="s">
        <v>707</v>
      </c>
      <c r="B166" s="125">
        <v>0</v>
      </c>
      <c r="C166" s="125">
        <v>0</v>
      </c>
      <c r="D166" s="2">
        <v>0</v>
      </c>
      <c r="E166" s="2">
        <v>0</v>
      </c>
      <c r="F166" s="157" t="e">
        <f t="shared" si="35"/>
        <v>#DIV/0!</v>
      </c>
      <c r="G166" s="115" t="e">
        <f t="shared" si="36"/>
        <v>#DIV/0!</v>
      </c>
    </row>
    <row r="167" spans="1:7" ht="18" customHeight="1" x14ac:dyDescent="0.25">
      <c r="A167" s="7" t="s">
        <v>708</v>
      </c>
      <c r="B167" s="125">
        <v>0</v>
      </c>
      <c r="C167" s="125">
        <v>0</v>
      </c>
      <c r="D167" s="2">
        <v>0</v>
      </c>
      <c r="E167" s="2">
        <v>0</v>
      </c>
      <c r="F167" s="157" t="e">
        <f t="shared" si="35"/>
        <v>#DIV/0!</v>
      </c>
      <c r="G167" s="115" t="e">
        <f t="shared" si="36"/>
        <v>#DIV/0!</v>
      </c>
    </row>
    <row r="168" spans="1:7" ht="18" customHeight="1" x14ac:dyDescent="0.25">
      <c r="A168" s="7" t="s">
        <v>709</v>
      </c>
      <c r="B168" s="125">
        <v>0</v>
      </c>
      <c r="C168" s="125">
        <v>0</v>
      </c>
      <c r="D168" s="2">
        <v>0</v>
      </c>
      <c r="E168" s="2">
        <v>0</v>
      </c>
      <c r="F168" s="157" t="e">
        <f t="shared" si="35"/>
        <v>#DIV/0!</v>
      </c>
      <c r="G168" s="115" t="e">
        <f t="shared" si="36"/>
        <v>#DIV/0!</v>
      </c>
    </row>
    <row r="169" spans="1:7" ht="18" customHeight="1" thickBot="1" x14ac:dyDescent="0.3">
      <c r="A169" s="201" t="s">
        <v>710</v>
      </c>
      <c r="B169" s="203">
        <v>0</v>
      </c>
      <c r="C169" s="203">
        <v>0</v>
      </c>
      <c r="D169" s="5">
        <v>0</v>
      </c>
      <c r="E169" s="5">
        <v>0</v>
      </c>
      <c r="F169" s="31" t="e">
        <f t="shared" si="35"/>
        <v>#DIV/0!</v>
      </c>
      <c r="G169" s="190" t="e">
        <f t="shared" si="36"/>
        <v>#DIV/0!</v>
      </c>
    </row>
    <row r="170" spans="1:7" ht="35.25" customHeight="1" thickBot="1" x14ac:dyDescent="0.3">
      <c r="A170" s="503" t="s">
        <v>585</v>
      </c>
      <c r="B170" s="504"/>
      <c r="C170" s="504"/>
      <c r="D170" s="504"/>
      <c r="E170" s="504"/>
      <c r="F170" s="504"/>
      <c r="G170" s="505"/>
    </row>
    <row r="171" spans="1:7" ht="24" customHeight="1" thickBot="1" x14ac:dyDescent="0.3">
      <c r="A171" s="509" t="s">
        <v>545</v>
      </c>
      <c r="B171" s="510"/>
      <c r="C171" s="510"/>
      <c r="D171" s="510"/>
      <c r="E171" s="510"/>
      <c r="F171" s="510"/>
      <c r="G171" s="511"/>
    </row>
    <row r="172" spans="1:7" ht="55.9" customHeight="1" x14ac:dyDescent="0.25">
      <c r="A172" s="204" t="s">
        <v>496</v>
      </c>
      <c r="B172" s="26" t="s">
        <v>716</v>
      </c>
      <c r="C172" s="26" t="s">
        <v>717</v>
      </c>
      <c r="D172" s="26" t="s">
        <v>719</v>
      </c>
      <c r="E172" s="26" t="s">
        <v>715</v>
      </c>
      <c r="F172" s="26" t="s">
        <v>718</v>
      </c>
      <c r="G172" s="27" t="s">
        <v>720</v>
      </c>
    </row>
    <row r="173" spans="1:7" ht="18" customHeight="1" x14ac:dyDescent="0.25">
      <c r="A173" s="7" t="s">
        <v>711</v>
      </c>
      <c r="B173" s="125">
        <v>0</v>
      </c>
      <c r="C173" s="125">
        <v>0</v>
      </c>
      <c r="D173" s="157" t="e">
        <f xml:space="preserve"> (C173-B173)/B173</f>
        <v>#DIV/0!</v>
      </c>
      <c r="E173" s="157">
        <v>0</v>
      </c>
      <c r="F173" s="157">
        <v>0</v>
      </c>
      <c r="G173" s="115" t="e">
        <f>(F173-C173)/C173</f>
        <v>#DIV/0!</v>
      </c>
    </row>
    <row r="174" spans="1:7" ht="45.75" customHeight="1" x14ac:dyDescent="0.25">
      <c r="A174" s="7" t="s">
        <v>721</v>
      </c>
      <c r="B174" s="2">
        <v>0</v>
      </c>
      <c r="C174" s="2">
        <v>0</v>
      </c>
      <c r="D174" s="157" t="e">
        <f t="shared" ref="D174:D178" si="37" xml:space="preserve"> (C174-B174)/B174</f>
        <v>#DIV/0!</v>
      </c>
      <c r="E174" s="123">
        <v>0</v>
      </c>
      <c r="F174" s="123">
        <v>0</v>
      </c>
      <c r="G174" s="115" t="e">
        <f t="shared" ref="G174:G178" si="38">(F174-C174)/C174</f>
        <v>#DIV/0!</v>
      </c>
    </row>
    <row r="175" spans="1:7" ht="33" customHeight="1" x14ac:dyDescent="0.25">
      <c r="A175" s="7" t="s">
        <v>722</v>
      </c>
      <c r="B175" s="2">
        <v>0</v>
      </c>
      <c r="C175" s="2">
        <v>0</v>
      </c>
      <c r="D175" s="157" t="e">
        <f t="shared" si="37"/>
        <v>#DIV/0!</v>
      </c>
      <c r="E175" s="123">
        <v>0</v>
      </c>
      <c r="F175" s="123">
        <v>0</v>
      </c>
      <c r="G175" s="115" t="e">
        <f t="shared" si="38"/>
        <v>#DIV/0!</v>
      </c>
    </row>
    <row r="176" spans="1:7" ht="18" customHeight="1" x14ac:dyDescent="0.25">
      <c r="A176" s="7" t="s">
        <v>712</v>
      </c>
      <c r="B176" s="202">
        <v>0</v>
      </c>
      <c r="C176" s="2">
        <v>0</v>
      </c>
      <c r="D176" s="157" t="e">
        <f t="shared" si="37"/>
        <v>#DIV/0!</v>
      </c>
      <c r="E176" s="123">
        <v>0</v>
      </c>
      <c r="F176" s="123">
        <v>0</v>
      </c>
      <c r="G176" s="115" t="e">
        <f t="shared" si="38"/>
        <v>#DIV/0!</v>
      </c>
    </row>
    <row r="177" spans="1:7" ht="18" customHeight="1" x14ac:dyDescent="0.25">
      <c r="A177" s="7" t="s">
        <v>713</v>
      </c>
      <c r="B177" s="2">
        <v>0</v>
      </c>
      <c r="C177" s="2">
        <v>0</v>
      </c>
      <c r="D177" s="157" t="e">
        <f t="shared" si="37"/>
        <v>#DIV/0!</v>
      </c>
      <c r="E177" s="123">
        <v>0</v>
      </c>
      <c r="F177" s="123">
        <v>0</v>
      </c>
      <c r="G177" s="115" t="e">
        <f t="shared" si="38"/>
        <v>#DIV/0!</v>
      </c>
    </row>
    <row r="178" spans="1:7" ht="18" customHeight="1" x14ac:dyDescent="0.25">
      <c r="A178" s="7" t="s">
        <v>723</v>
      </c>
      <c r="B178" s="125">
        <v>0</v>
      </c>
      <c r="C178" s="125">
        <v>0</v>
      </c>
      <c r="D178" s="157" t="e">
        <f t="shared" si="37"/>
        <v>#DIV/0!</v>
      </c>
      <c r="E178" s="157">
        <v>0</v>
      </c>
      <c r="F178" s="200">
        <v>0</v>
      </c>
      <c r="G178" s="115" t="e">
        <f t="shared" si="38"/>
        <v>#DIV/0!</v>
      </c>
    </row>
    <row r="179" spans="1:7" ht="18" customHeight="1" x14ac:dyDescent="0.25">
      <c r="A179" s="7" t="s">
        <v>583</v>
      </c>
      <c r="B179" s="2">
        <v>0</v>
      </c>
      <c r="C179" s="2">
        <v>0</v>
      </c>
      <c r="D179" s="157" t="e">
        <f t="shared" ref="D179:D180" si="39" xml:space="preserve"> (C179-B179)/B179</f>
        <v>#DIV/0!</v>
      </c>
      <c r="E179" s="123">
        <v>0</v>
      </c>
      <c r="F179" s="123">
        <v>0</v>
      </c>
      <c r="G179" s="115" t="e">
        <f t="shared" ref="G179:G180" si="40">(F179-C179)/C179</f>
        <v>#DIV/0!</v>
      </c>
    </row>
    <row r="180" spans="1:7" ht="18" customHeight="1" thickBot="1" x14ac:dyDescent="0.3">
      <c r="A180" s="201" t="s">
        <v>714</v>
      </c>
      <c r="B180" s="203">
        <v>0</v>
      </c>
      <c r="C180" s="203">
        <v>0</v>
      </c>
      <c r="D180" s="31" t="e">
        <f t="shared" si="39"/>
        <v>#DIV/0!</v>
      </c>
      <c r="E180" s="31">
        <v>0</v>
      </c>
      <c r="F180" s="205">
        <v>0</v>
      </c>
      <c r="G180" s="190" t="e">
        <f t="shared" si="40"/>
        <v>#DIV/0!</v>
      </c>
    </row>
    <row r="181" spans="1:7" ht="24" customHeight="1" thickBot="1" x14ac:dyDescent="0.3">
      <c r="A181" s="509" t="s">
        <v>546</v>
      </c>
      <c r="B181" s="510"/>
      <c r="C181" s="510"/>
      <c r="D181" s="510"/>
      <c r="E181" s="510"/>
      <c r="F181" s="510"/>
      <c r="G181" s="511"/>
    </row>
    <row r="182" spans="1:7" ht="42.75" x14ac:dyDescent="0.25">
      <c r="A182" s="204" t="s">
        <v>496</v>
      </c>
      <c r="B182" s="26" t="s">
        <v>716</v>
      </c>
      <c r="C182" s="26" t="s">
        <v>717</v>
      </c>
      <c r="D182" s="26" t="s">
        <v>719</v>
      </c>
      <c r="E182" s="26" t="s">
        <v>715</v>
      </c>
      <c r="F182" s="26" t="s">
        <v>718</v>
      </c>
      <c r="G182" s="27" t="s">
        <v>720</v>
      </c>
    </row>
    <row r="183" spans="1:7" ht="18" customHeight="1" x14ac:dyDescent="0.25">
      <c r="A183" s="434" t="s">
        <v>500</v>
      </c>
      <c r="B183" s="435"/>
      <c r="C183" s="435"/>
      <c r="D183" s="435"/>
      <c r="E183" s="435"/>
      <c r="F183" s="435"/>
      <c r="G183" s="436"/>
    </row>
    <row r="184" spans="1:7" ht="18" customHeight="1" x14ac:dyDescent="0.25">
      <c r="A184" s="7" t="s">
        <v>725</v>
      </c>
      <c r="B184" s="206">
        <v>0</v>
      </c>
      <c r="C184" s="206">
        <v>0</v>
      </c>
      <c r="D184" s="157" t="e">
        <f xml:space="preserve"> (C184-B184)/B184</f>
        <v>#DIV/0!</v>
      </c>
      <c r="E184" s="207">
        <v>0</v>
      </c>
      <c r="F184" s="207">
        <v>0</v>
      </c>
      <c r="G184" s="115" t="e">
        <f>(F184-C184)/C184</f>
        <v>#DIV/0!</v>
      </c>
    </row>
    <row r="185" spans="1:7" ht="18" customHeight="1" x14ac:dyDescent="0.25">
      <c r="A185" s="7" t="s">
        <v>724</v>
      </c>
      <c r="B185" s="200">
        <v>0</v>
      </c>
      <c r="C185" s="157">
        <v>0</v>
      </c>
      <c r="D185" s="157" t="e">
        <f t="shared" ref="D185" si="41" xml:space="preserve"> (C185-B185)/B185</f>
        <v>#DIV/0!</v>
      </c>
      <c r="E185" s="200">
        <v>0</v>
      </c>
      <c r="F185" s="200">
        <v>0</v>
      </c>
      <c r="G185" s="115" t="e">
        <f t="shared" ref="G185" si="42">(F185-C185)/C185</f>
        <v>#DIV/0!</v>
      </c>
    </row>
    <row r="186" spans="1:7" ht="18" customHeight="1" x14ac:dyDescent="0.25">
      <c r="A186" s="7" t="s">
        <v>723</v>
      </c>
      <c r="B186" s="200">
        <v>0</v>
      </c>
      <c r="C186" s="200">
        <v>0</v>
      </c>
      <c r="D186" s="157" t="e">
        <f t="shared" ref="D186" si="43" xml:space="preserve"> (C186-B186)/B186</f>
        <v>#DIV/0!</v>
      </c>
      <c r="E186" s="200">
        <v>0</v>
      </c>
      <c r="F186" s="200">
        <v>0</v>
      </c>
      <c r="G186" s="115" t="e">
        <f t="shared" ref="G186" si="44">(F186-C186)/C186</f>
        <v>#DIV/0!</v>
      </c>
    </row>
    <row r="187" spans="1:7" ht="18" customHeight="1" x14ac:dyDescent="0.25">
      <c r="A187" s="434" t="s">
        <v>726</v>
      </c>
      <c r="B187" s="435"/>
      <c r="C187" s="435"/>
      <c r="D187" s="435"/>
      <c r="E187" s="435"/>
      <c r="F187" s="435"/>
      <c r="G187" s="436"/>
    </row>
    <row r="188" spans="1:7" ht="18" customHeight="1" x14ac:dyDescent="0.25">
      <c r="A188" s="7" t="s">
        <v>725</v>
      </c>
      <c r="B188" s="206">
        <v>0</v>
      </c>
      <c r="C188" s="206">
        <v>0</v>
      </c>
      <c r="D188" s="157" t="e">
        <f xml:space="preserve"> (C188-B188)/B188</f>
        <v>#DIV/0!</v>
      </c>
      <c r="E188" s="207">
        <v>0</v>
      </c>
      <c r="F188" s="207">
        <v>0</v>
      </c>
      <c r="G188" s="115" t="e">
        <f>(F188-C188)/C188</f>
        <v>#DIV/0!</v>
      </c>
    </row>
    <row r="189" spans="1:7" ht="18" customHeight="1" x14ac:dyDescent="0.25">
      <c r="A189" s="7" t="s">
        <v>724</v>
      </c>
      <c r="B189" s="200">
        <v>0</v>
      </c>
      <c r="C189" s="157">
        <v>0</v>
      </c>
      <c r="D189" s="157" t="e">
        <f t="shared" ref="D189:D190" si="45" xml:space="preserve"> (C189-B189)/B189</f>
        <v>#DIV/0!</v>
      </c>
      <c r="E189" s="200">
        <v>0</v>
      </c>
      <c r="F189" s="200">
        <v>0</v>
      </c>
      <c r="G189" s="115" t="e">
        <f t="shared" ref="G189:G190" si="46">(F189-C189)/C189</f>
        <v>#DIV/0!</v>
      </c>
    </row>
    <row r="190" spans="1:7" ht="18" customHeight="1" x14ac:dyDescent="0.25">
      <c r="A190" s="7" t="s">
        <v>723</v>
      </c>
      <c r="B190" s="200">
        <v>0</v>
      </c>
      <c r="C190" s="200">
        <v>0</v>
      </c>
      <c r="D190" s="157" t="e">
        <f t="shared" si="45"/>
        <v>#DIV/0!</v>
      </c>
      <c r="E190" s="200">
        <v>0</v>
      </c>
      <c r="F190" s="200">
        <v>0</v>
      </c>
      <c r="G190" s="115" t="e">
        <f t="shared" si="46"/>
        <v>#DIV/0!</v>
      </c>
    </row>
    <row r="191" spans="1:7" ht="18" customHeight="1" x14ac:dyDescent="0.25">
      <c r="A191" s="434" t="s">
        <v>494</v>
      </c>
      <c r="B191" s="435"/>
      <c r="C191" s="435"/>
      <c r="D191" s="435"/>
      <c r="E191" s="435"/>
      <c r="F191" s="435"/>
      <c r="G191" s="436"/>
    </row>
    <row r="192" spans="1:7" ht="18" customHeight="1" x14ac:dyDescent="0.25">
      <c r="A192" s="7" t="s">
        <v>725</v>
      </c>
      <c r="B192" s="206">
        <v>0</v>
      </c>
      <c r="C192" s="206">
        <v>0</v>
      </c>
      <c r="D192" s="157" t="e">
        <f xml:space="preserve"> (C192-B192)/B192</f>
        <v>#DIV/0!</v>
      </c>
      <c r="E192" s="207">
        <v>0</v>
      </c>
      <c r="F192" s="207">
        <v>0</v>
      </c>
      <c r="G192" s="115" t="e">
        <f>(F192-C192)/C192</f>
        <v>#DIV/0!</v>
      </c>
    </row>
    <row r="193" spans="1:7" ht="18" customHeight="1" x14ac:dyDescent="0.25">
      <c r="A193" s="7" t="s">
        <v>724</v>
      </c>
      <c r="B193" s="200">
        <v>0</v>
      </c>
      <c r="C193" s="157">
        <v>0</v>
      </c>
      <c r="D193" s="157" t="e">
        <f t="shared" ref="D193:D194" si="47" xml:space="preserve"> (C193-B193)/B193</f>
        <v>#DIV/0!</v>
      </c>
      <c r="E193" s="200">
        <v>0</v>
      </c>
      <c r="F193" s="200">
        <v>0</v>
      </c>
      <c r="G193" s="115" t="e">
        <f t="shared" ref="G193:G194" si="48">(F193-C193)/C193</f>
        <v>#DIV/0!</v>
      </c>
    </row>
    <row r="194" spans="1:7" ht="18" customHeight="1" thickBot="1" x14ac:dyDescent="0.3">
      <c r="A194" s="201" t="s">
        <v>723</v>
      </c>
      <c r="B194" s="205">
        <v>0</v>
      </c>
      <c r="C194" s="205">
        <v>0</v>
      </c>
      <c r="D194" s="31" t="e">
        <f t="shared" si="47"/>
        <v>#DIV/0!</v>
      </c>
      <c r="E194" s="205">
        <v>0</v>
      </c>
      <c r="F194" s="205">
        <v>0</v>
      </c>
      <c r="G194" s="190" t="e">
        <f t="shared" si="48"/>
        <v>#DIV/0!</v>
      </c>
    </row>
    <row r="195" spans="1:7" x14ac:dyDescent="0.25">
      <c r="A195" s="512"/>
      <c r="B195" s="512"/>
      <c r="C195" s="512"/>
      <c r="D195" s="512"/>
      <c r="E195" s="512"/>
      <c r="F195" s="512"/>
      <c r="G195" s="512"/>
    </row>
  </sheetData>
  <mergeCells count="79">
    <mergeCell ref="A191:G191"/>
    <mergeCell ref="A183:G183"/>
    <mergeCell ref="A187:G187"/>
    <mergeCell ref="A9:B9"/>
    <mergeCell ref="A80:G80"/>
    <mergeCell ref="A88:G88"/>
    <mergeCell ref="A101:G101"/>
    <mergeCell ref="A20:B20"/>
    <mergeCell ref="A21:B21"/>
    <mergeCell ref="A22:B22"/>
    <mergeCell ref="A23:B23"/>
    <mergeCell ref="A24:B24"/>
    <mergeCell ref="A15:B15"/>
    <mergeCell ref="A16:B16"/>
    <mergeCell ref="A17:B17"/>
    <mergeCell ref="A18:G18"/>
    <mergeCell ref="A19:B19"/>
    <mergeCell ref="A52:B52"/>
    <mergeCell ref="A32:G32"/>
    <mergeCell ref="A10:B10"/>
    <mergeCell ref="A102:G102"/>
    <mergeCell ref="A30:B30"/>
    <mergeCell ref="A31:B31"/>
    <mergeCell ref="A25:G25"/>
    <mergeCell ref="A26:B26"/>
    <mergeCell ref="A27:B27"/>
    <mergeCell ref="A28:B28"/>
    <mergeCell ref="A29:B29"/>
    <mergeCell ref="A53:G53"/>
    <mergeCell ref="A69:G69"/>
    <mergeCell ref="A6:B6"/>
    <mergeCell ref="A7:B7"/>
    <mergeCell ref="A46:B46"/>
    <mergeCell ref="A36:G36"/>
    <mergeCell ref="A41:G41"/>
    <mergeCell ref="A37:B37"/>
    <mergeCell ref="A44:G44"/>
    <mergeCell ref="A8:B8"/>
    <mergeCell ref="A38:B38"/>
    <mergeCell ref="A39:B39"/>
    <mergeCell ref="A40:B40"/>
    <mergeCell ref="A45:B45"/>
    <mergeCell ref="A11:G11"/>
    <mergeCell ref="A12:B12"/>
    <mergeCell ref="A13:B13"/>
    <mergeCell ref="A14:B14"/>
    <mergeCell ref="A1:G1"/>
    <mergeCell ref="A2:G2"/>
    <mergeCell ref="A4:B4"/>
    <mergeCell ref="A5:B5"/>
    <mergeCell ref="A3:B3"/>
    <mergeCell ref="A181:G181"/>
    <mergeCell ref="A195:G195"/>
    <mergeCell ref="A125:G125"/>
    <mergeCell ref="A47:B47"/>
    <mergeCell ref="A48:B48"/>
    <mergeCell ref="A49:B49"/>
    <mergeCell ref="A171:G171"/>
    <mergeCell ref="A50:B50"/>
    <mergeCell ref="A51:B51"/>
    <mergeCell ref="A73:G73"/>
    <mergeCell ref="A81:G81"/>
    <mergeCell ref="A57:G57"/>
    <mergeCell ref="A64:G64"/>
    <mergeCell ref="A98:G98"/>
    <mergeCell ref="A170:G170"/>
    <mergeCell ref="A109:G109"/>
    <mergeCell ref="A129:G129"/>
    <mergeCell ref="A33:G33"/>
    <mergeCell ref="A54:G54"/>
    <mergeCell ref="A118:G118"/>
    <mergeCell ref="A128:G128"/>
    <mergeCell ref="A60:G60"/>
    <mergeCell ref="A70:G70"/>
    <mergeCell ref="A145:G145"/>
    <mergeCell ref="A153:G153"/>
    <mergeCell ref="A154:G154"/>
    <mergeCell ref="A162:G162"/>
    <mergeCell ref="A137:G137"/>
  </mergeCells>
  <printOptions horizontalCentered="1"/>
  <pageMargins left="0.7" right="0.7" top="1.25" bottom="0.78" header="0.3" footer="0.3"/>
  <pageSetup orientation="portrait" r:id="rId1"/>
  <headerFooter>
    <oddHeader>&amp;C&amp;G
&amp;"Century Gothic,Regular"&amp;18&amp;K252260Key Performance Indicators Worksheet&amp;R&amp;"Century Gothic,Regular"&amp;9&amp;K252260Page &amp;P of &amp;N</oddHeader>
    <oddFooter>&amp;C&amp;"Century Gothic,Regular"&amp;9&amp;K252260Learn how our award-winning software can help you achieve your fundraising goals at DonorView.com.</oddFooter>
  </headerFooter>
  <rowBreaks count="7" manualBreakCount="7">
    <brk id="31" max="16383" man="1"/>
    <brk id="52" max="16383" man="1"/>
    <brk id="68" max="16383" man="1"/>
    <brk id="79" max="16383" man="1"/>
    <brk id="100" max="16383" man="1"/>
    <brk id="152" max="16383" man="1"/>
    <brk id="169" max="16383" man="1"/>
  </rowBreaks>
  <ignoredErrors>
    <ignoredError sqref="F4:F8" evalError="1"/>
  </ignoredError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081E0024AD4043ABFC0161230BAC1A" ma:contentTypeVersion="9" ma:contentTypeDescription="Create a new document." ma:contentTypeScope="" ma:versionID="e350406d6eba0241e58c920475bc28a3">
  <xsd:schema xmlns:xsd="http://www.w3.org/2001/XMLSchema" xmlns:xs="http://www.w3.org/2001/XMLSchema" xmlns:p="http://schemas.microsoft.com/office/2006/metadata/properties" xmlns:ns3="86bef469-28a9-4eed-bc2c-2d58bea71083" targetNamespace="http://schemas.microsoft.com/office/2006/metadata/properties" ma:root="true" ma:fieldsID="bd01b280783dce4c873a76c8c3d4122b" ns3:_="">
    <xsd:import namespace="86bef469-28a9-4eed-bc2c-2d58bea7108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ef469-28a9-4eed-bc2c-2d58bea71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869426-2275-4FF2-B887-FA2BC5DE21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804C22-6A2A-43FF-900A-F461E0818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bef469-28a9-4eed-bc2c-2d58bea710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98E0FF-CC56-4802-90B3-84CC510E2D65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86bef469-28a9-4eed-bc2c-2d58bea7108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Fundraising Strategy</vt:lpstr>
      <vt:lpstr>Guiding Principals</vt:lpstr>
      <vt:lpstr>SWOT</vt:lpstr>
      <vt:lpstr>Objectives</vt:lpstr>
      <vt:lpstr>Annual Plan</vt:lpstr>
      <vt:lpstr>Calendar</vt:lpstr>
      <vt:lpstr>Donor Engagement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</dc:creator>
  <cp:lastModifiedBy>Kimberly Perron</cp:lastModifiedBy>
  <cp:lastPrinted>2023-11-20T15:04:46Z</cp:lastPrinted>
  <dcterms:created xsi:type="dcterms:W3CDTF">2023-05-31T13:20:55Z</dcterms:created>
  <dcterms:modified xsi:type="dcterms:W3CDTF">2023-11-30T21:32:16Z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0x010100C5081E0024AD4043ABFC0161230BAC1A</vt:lpwstr>
  </property>
</Properties>
</file>